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Sean\Downloads\Archipelago Stuff\.apworlds\PhoenixAP\worlds\spyro-aht\my files\"/>
    </mc:Choice>
  </mc:AlternateContent>
  <xr:revisionPtr revIDLastSave="0" documentId="13_ncr:1_{76AA16D6-22BB-4A22-A976-88A926FEB889}" xr6:coauthVersionLast="47" xr6:coauthVersionMax="47" xr10:uidLastSave="{00000000-0000-0000-0000-000000000000}"/>
  <bookViews>
    <workbookView xWindow="38280" yWindow="-120" windowWidth="38640" windowHeight="21240" tabRatio="697" activeTab="3" xr2:uid="{00000000-000D-0000-FFFF-FFFF00000000}"/>
  </bookViews>
  <sheets>
    <sheet name="Dragon Kingdom CONDENSING" sheetId="10" r:id="rId1"/>
    <sheet name="Lost Cities CONDENSING" sheetId="11" r:id="rId2"/>
    <sheet name="Icy Wilderness CONDENSING" sheetId="12" r:id="rId3"/>
    <sheet name="Volcanic Isle CONDENSING" sheetId="13" r:id="rId4"/>
    <sheet name="Dragon Kingdom EDITING" sheetId="5" r:id="rId5"/>
    <sheet name="Lost Cities EDITING" sheetId="7" r:id="rId6"/>
    <sheet name="Icy Wilderness EDITING" sheetId="8" r:id="rId7"/>
    <sheet name="Volcanic Isle EDITING" sheetId="9" r:id="rId8"/>
    <sheet name="Dragon Kingdom" sheetId="1" r:id="rId9"/>
    <sheet name="Lost Cities" sheetId="2" r:id="rId10"/>
    <sheet name="Icy Wilderness" sheetId="3" r:id="rId11"/>
    <sheet name="Volcanic Isle" sheetId="4"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1" i="11" l="1"/>
  <c r="J30" i="11"/>
  <c r="K20" i="11"/>
  <c r="C37" i="11"/>
  <c r="D40" i="12"/>
  <c r="C40" i="12"/>
  <c r="B31" i="12"/>
  <c r="C32" i="12" s="1"/>
  <c r="B42" i="12"/>
  <c r="C44" i="12" s="1"/>
  <c r="C35" i="12"/>
  <c r="C42" i="8"/>
  <c r="N23" i="13"/>
  <c r="N12" i="13"/>
  <c r="J19" i="13"/>
  <c r="J20" i="13"/>
  <c r="F19" i="13"/>
  <c r="F23" i="13"/>
  <c r="F16" i="13"/>
  <c r="G17" i="13" s="1"/>
  <c r="N26" i="13"/>
  <c r="O28" i="13" s="1"/>
  <c r="K21" i="13"/>
  <c r="C27" i="13"/>
  <c r="O24" i="13"/>
  <c r="O21" i="13"/>
  <c r="S20" i="13"/>
  <c r="K15" i="13"/>
  <c r="B22" i="13"/>
  <c r="B28" i="13" s="1"/>
  <c r="O15" i="13"/>
  <c r="C16" i="13"/>
  <c r="R15" i="13"/>
  <c r="S17" i="13" s="1"/>
  <c r="S13" i="13"/>
  <c r="S10" i="13"/>
  <c r="G9" i="13"/>
  <c r="S6" i="13"/>
  <c r="N9" i="13"/>
  <c r="J11" i="13"/>
  <c r="K12" i="13" s="1"/>
  <c r="J28" i="12"/>
  <c r="J27" i="12"/>
  <c r="A28" i="12"/>
  <c r="B16" i="12"/>
  <c r="B18" i="12"/>
  <c r="J35" i="12"/>
  <c r="K33" i="12"/>
  <c r="C27" i="12"/>
  <c r="J23" i="12"/>
  <c r="K19" i="12"/>
  <c r="F7" i="12"/>
  <c r="K12" i="12"/>
  <c r="G6" i="12"/>
  <c r="C12" i="12"/>
  <c r="C7" i="12"/>
  <c r="J12" i="11"/>
  <c r="J9" i="11"/>
  <c r="K16" i="11" s="1"/>
  <c r="F24" i="11"/>
  <c r="G26" i="11" s="1"/>
  <c r="B42" i="11"/>
  <c r="C44" i="11" s="1"/>
  <c r="B18" i="11"/>
  <c r="C19" i="11" s="1"/>
  <c r="C47" i="11"/>
  <c r="C30" i="11"/>
  <c r="J26" i="11"/>
  <c r="K28" i="11" s="1"/>
  <c r="K24" i="11"/>
  <c r="G22" i="11"/>
  <c r="G17" i="11"/>
  <c r="B10" i="11"/>
  <c r="G9" i="11"/>
  <c r="K7" i="11"/>
  <c r="L16" i="11" s="1"/>
  <c r="B6" i="11"/>
  <c r="J17" i="10"/>
  <c r="K18" i="10" s="1"/>
  <c r="J10" i="10"/>
  <c r="J5" i="10"/>
  <c r="F7" i="10"/>
  <c r="F10" i="10"/>
  <c r="F12" i="10"/>
  <c r="B22" i="10"/>
  <c r="C23" i="10" s="1"/>
  <c r="B15" i="10"/>
  <c r="C16" i="10" s="1"/>
  <c r="B26" i="10"/>
  <c r="G19" i="10"/>
  <c r="C10" i="10"/>
  <c r="B7" i="7"/>
  <c r="B12" i="7"/>
  <c r="G21" i="9"/>
  <c r="G12" i="8"/>
  <c r="A32" i="8"/>
  <c r="C59" i="7"/>
  <c r="S6" i="9"/>
  <c r="S20" i="9"/>
  <c r="S13" i="9"/>
  <c r="S10" i="9"/>
  <c r="N5" i="9"/>
  <c r="O11" i="9" s="1"/>
  <c r="G9" i="9"/>
  <c r="O23" i="9"/>
  <c r="O17" i="9"/>
  <c r="K29" i="9"/>
  <c r="K18" i="9"/>
  <c r="C16" i="9"/>
  <c r="C29" i="9"/>
  <c r="F29" i="9"/>
  <c r="F31" i="9" s="1"/>
  <c r="N30" i="9"/>
  <c r="O32" i="9" s="1"/>
  <c r="O28" i="9"/>
  <c r="B18" i="9"/>
  <c r="B30" i="9" s="1"/>
  <c r="R15" i="9"/>
  <c r="R21" i="9" s="1"/>
  <c r="J5" i="9"/>
  <c r="J30" i="9" s="1"/>
  <c r="C48" i="8"/>
  <c r="C31" i="8"/>
  <c r="C23" i="8"/>
  <c r="B59" i="8"/>
  <c r="B91" i="8" s="1"/>
  <c r="C38" i="8"/>
  <c r="D42" i="8" s="1"/>
  <c r="C58" i="8"/>
  <c r="C53" i="8"/>
  <c r="K12" i="8"/>
  <c r="K39" i="8"/>
  <c r="K20" i="8"/>
  <c r="C7" i="8"/>
  <c r="C12" i="8"/>
  <c r="J41" i="8"/>
  <c r="J27" i="8"/>
  <c r="J22" i="8"/>
  <c r="F13" i="8"/>
  <c r="G9" i="7"/>
  <c r="G25" i="7"/>
  <c r="G30" i="7"/>
  <c r="G18" i="7"/>
  <c r="C29" i="7"/>
  <c r="K29" i="7"/>
  <c r="K7" i="7"/>
  <c r="C56" i="7"/>
  <c r="C46" i="7"/>
  <c r="C40" i="7"/>
  <c r="K26" i="5"/>
  <c r="G29" i="5"/>
  <c r="G20" i="5"/>
  <c r="C31" i="5"/>
  <c r="C21" i="5"/>
  <c r="B60" i="7"/>
  <c r="J36" i="7"/>
  <c r="K37" i="7" s="1"/>
  <c r="J31" i="7"/>
  <c r="K34" i="7" s="1"/>
  <c r="F31" i="7"/>
  <c r="J17" i="7"/>
  <c r="J14" i="5"/>
  <c r="K19" i="5" s="1"/>
  <c r="C10" i="5"/>
  <c r="F30" i="5"/>
  <c r="B34" i="5"/>
  <c r="B37" i="5" s="1"/>
  <c r="B50" i="3"/>
  <c r="A1" i="4"/>
  <c r="F30" i="4"/>
  <c r="R19" i="4"/>
  <c r="A1" i="1"/>
  <c r="J29" i="4"/>
  <c r="F14" i="3"/>
  <c r="B58" i="2"/>
  <c r="F34" i="1"/>
  <c r="R14" i="4"/>
  <c r="N25" i="4"/>
  <c r="N23" i="4"/>
  <c r="N5" i="4"/>
  <c r="N31" i="4" s="1"/>
  <c r="J5" i="4"/>
  <c r="F26" i="4"/>
  <c r="F28" i="4" s="1"/>
  <c r="B17" i="4"/>
  <c r="B28" i="4" s="1"/>
  <c r="J32" i="3"/>
  <c r="J30" i="3"/>
  <c r="J20" i="3"/>
  <c r="J25" i="3"/>
  <c r="J34" i="2"/>
  <c r="J30" i="2"/>
  <c r="J19" i="2"/>
  <c r="J39" i="2" s="1"/>
  <c r="F30" i="2"/>
  <c r="J22" i="1"/>
  <c r="J29" i="1" s="1"/>
  <c r="B33" i="1"/>
  <c r="B35" i="1" s="1"/>
  <c r="L20" i="11" l="1"/>
  <c r="F27" i="11"/>
  <c r="N29" i="13"/>
  <c r="F25" i="13"/>
  <c r="T10" i="13"/>
  <c r="T13" i="13" s="1"/>
  <c r="T17" i="13" s="1"/>
  <c r="T20" i="13" s="1"/>
  <c r="H17" i="13"/>
  <c r="C23" i="13"/>
  <c r="D23" i="13" s="1"/>
  <c r="D27" i="13" s="1"/>
  <c r="L15" i="13"/>
  <c r="L21" i="13" s="1"/>
  <c r="G24" i="13"/>
  <c r="R21" i="13"/>
  <c r="J22" i="13"/>
  <c r="O10" i="13"/>
  <c r="P15" i="13" s="1"/>
  <c r="P21" i="13" s="1"/>
  <c r="P24" i="13" s="1"/>
  <c r="P28" i="13" s="1"/>
  <c r="D35" i="12"/>
  <c r="B45" i="12"/>
  <c r="B77" i="12" s="1"/>
  <c r="C19" i="12"/>
  <c r="K29" i="12"/>
  <c r="L19" i="12"/>
  <c r="D12" i="12"/>
  <c r="D19" i="12" s="1"/>
  <c r="D27" i="12" s="1"/>
  <c r="J37" i="12"/>
  <c r="J78" i="12" s="1"/>
  <c r="J32" i="11"/>
  <c r="H17" i="11"/>
  <c r="H22" i="11" s="1"/>
  <c r="H26" i="11" s="1"/>
  <c r="B48" i="11"/>
  <c r="C14" i="11"/>
  <c r="D19" i="11" s="1"/>
  <c r="D30" i="11" s="1"/>
  <c r="D37" i="11" s="1"/>
  <c r="D44" i="11" s="1"/>
  <c r="D47" i="11" s="1"/>
  <c r="K12" i="10"/>
  <c r="L18" i="10" s="1"/>
  <c r="F20" i="10"/>
  <c r="G13" i="10"/>
  <c r="H19" i="10" s="1"/>
  <c r="B29" i="10"/>
  <c r="D16" i="10"/>
  <c r="D23" i="10" s="1"/>
  <c r="J19" i="10"/>
  <c r="C28" i="10"/>
  <c r="C17" i="7"/>
  <c r="S17" i="9"/>
  <c r="H29" i="5"/>
  <c r="L26" i="5"/>
  <c r="H18" i="7"/>
  <c r="H25" i="7" s="1"/>
  <c r="H30" i="7" s="1"/>
  <c r="D21" i="5"/>
  <c r="D31" i="5" s="1"/>
  <c r="J27" i="5"/>
  <c r="F32" i="5" s="1"/>
  <c r="A1" i="5" s="1"/>
  <c r="C36" i="5"/>
  <c r="T10" i="9"/>
  <c r="T13" i="9" s="1"/>
  <c r="T17" i="9" s="1"/>
  <c r="T20" i="9" s="1"/>
  <c r="P17" i="9"/>
  <c r="P23" i="9" s="1"/>
  <c r="P28" i="9" s="1"/>
  <c r="P32" i="9" s="1"/>
  <c r="K15" i="9"/>
  <c r="L18" i="9" s="1"/>
  <c r="L29" i="9" s="1"/>
  <c r="H21" i="9"/>
  <c r="G30" i="9"/>
  <c r="C25" i="9"/>
  <c r="D25" i="9" s="1"/>
  <c r="D29" i="9" s="1"/>
  <c r="N33" i="9"/>
  <c r="F33" i="9" s="1"/>
  <c r="L20" i="8"/>
  <c r="K35" i="8"/>
  <c r="D12" i="8"/>
  <c r="D23" i="8" s="1"/>
  <c r="J43" i="8"/>
  <c r="F15" i="8" s="1"/>
  <c r="A1" i="8" s="1"/>
  <c r="D29" i="7"/>
  <c r="D40" i="7" s="1"/>
  <c r="D46" i="7" s="1"/>
  <c r="D56" i="7" s="1"/>
  <c r="D59" i="7" s="1"/>
  <c r="F32" i="2"/>
  <c r="A1" i="2" s="1"/>
  <c r="J38" i="7"/>
  <c r="F33" i="7" s="1"/>
  <c r="A1" i="7" s="1"/>
  <c r="J37" i="3"/>
  <c r="J78" i="3" s="1"/>
  <c r="F36" i="1"/>
  <c r="L24" i="11" l="1"/>
  <c r="L28" i="11" s="1"/>
  <c r="L31" i="11" s="1"/>
  <c r="D44" i="12"/>
  <c r="B79" i="12"/>
  <c r="B80" i="12" s="1"/>
  <c r="H24" i="13"/>
  <c r="F27" i="13"/>
  <c r="F29" i="13" s="1"/>
  <c r="L29" i="12"/>
  <c r="L33" i="12" s="1"/>
  <c r="K36" i="12" s="1"/>
  <c r="F9" i="12"/>
  <c r="A1" i="12" s="1"/>
  <c r="F29" i="11"/>
  <c r="A1" i="11" s="1"/>
  <c r="D28" i="10"/>
  <c r="F22" i="10"/>
  <c r="A1" i="10" s="1"/>
  <c r="D36" i="5"/>
  <c r="H30" i="9"/>
  <c r="F35" i="9"/>
  <c r="A1" i="9"/>
  <c r="D31" i="8"/>
  <c r="D48" i="8"/>
  <c r="D53" i="8" s="1"/>
  <c r="D58" i="8" s="1"/>
  <c r="L35" i="8"/>
  <c r="L39" i="8" s="1"/>
  <c r="K42" i="8" s="1"/>
  <c r="J84" i="8"/>
  <c r="B93" i="8" s="1"/>
  <c r="B94" i="8" s="1"/>
  <c r="K25" i="7"/>
  <c r="L25" i="7" s="1"/>
  <c r="L29" i="7" s="1"/>
  <c r="L34" i="7" s="1"/>
  <c r="L37" i="7" s="1"/>
  <c r="F16" i="3"/>
  <c r="A1" i="3" s="1"/>
  <c r="B82" i="3"/>
  <c r="B84" i="3" s="1"/>
  <c r="B85" i="3" s="1"/>
  <c r="A1" i="13" l="1"/>
  <c r="F3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Sean Stanley</author>
  </authors>
  <commentList>
    <comment ref="E2" authorId="0" shapeId="0" xr:uid="{08BCDDC1-B0DE-4BF5-BDD4-135CD9611F05}">
      <text>
        <r>
          <rPr>
            <b/>
            <sz val="9"/>
            <color indexed="81"/>
            <rFont val="Tahoma"/>
            <charset val="1"/>
          </rPr>
          <t>Sean Stanley:</t>
        </r>
        <r>
          <rPr>
            <sz val="9"/>
            <color indexed="81"/>
            <rFont val="Tahoma"/>
            <charset val="1"/>
          </rPr>
          <t xml:space="preserve">
</t>
        </r>
      </text>
    </comment>
    <comment ref="L6" authorId="0" shapeId="0" xr:uid="{CEFF3ABC-613B-4FCA-84BD-1160A6F729E0}">
      <text>
        <r>
          <rPr>
            <b/>
            <sz val="9"/>
            <color indexed="81"/>
            <rFont val="Tahoma"/>
            <family val="2"/>
          </rPr>
          <t>Sean Stanley:</t>
        </r>
        <r>
          <rPr>
            <sz val="9"/>
            <color indexed="81"/>
            <rFont val="Tahoma"/>
            <family val="2"/>
          </rPr>
          <t xml:space="preserve">
Ice + Charge worsk but is a bit glitchy? Or finicky</t>
        </r>
      </text>
    </comment>
    <comment ref="E9" authorId="0" shapeId="0" xr:uid="{3175E118-7BB7-405D-9A0D-E00082136519}">
      <text>
        <r>
          <rPr>
            <b/>
            <sz val="9"/>
            <color indexed="81"/>
            <rFont val="Tahoma"/>
            <family val="2"/>
          </rPr>
          <t>Sean Stanley:</t>
        </r>
        <r>
          <rPr>
            <sz val="9"/>
            <color indexed="81"/>
            <rFont val="Tahoma"/>
            <family val="2"/>
          </rPr>
          <t xml:space="preserve">
huge gnorcs in debris cave very hard to get all 40 gems from</t>
        </r>
      </text>
    </comment>
    <comment ref="H11" authorId="0" shapeId="0" xr:uid="{D1DD4830-1076-4E46-A024-5B284CEDFA25}">
      <text>
        <r>
          <rPr>
            <b/>
            <sz val="9"/>
            <color indexed="81"/>
            <rFont val="Tahoma"/>
            <family val="2"/>
          </rPr>
          <t>Sean Stanley:</t>
        </r>
        <r>
          <rPr>
            <sz val="9"/>
            <color indexed="81"/>
            <rFont val="Tahoma"/>
            <family val="2"/>
          </rPr>
          <t xml:space="preserve">
Glide is here because you can get to the chests without glide but need glide to get the gems from them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Sean Stanley</author>
  </authors>
  <commentList>
    <comment ref="E2" authorId="0" shapeId="0" xr:uid="{BEA8863E-E155-4ECF-AA8E-8539FCABADA0}">
      <text>
        <r>
          <rPr>
            <b/>
            <sz val="9"/>
            <color indexed="81"/>
            <rFont val="Tahoma"/>
            <charset val="1"/>
          </rPr>
          <t>Sean Stanley:</t>
        </r>
        <r>
          <rPr>
            <sz val="9"/>
            <color indexed="81"/>
            <rFont val="Tahoma"/>
            <charset val="1"/>
          </rPr>
          <t xml:space="preserve">
</t>
        </r>
      </text>
    </comment>
    <comment ref="E4" authorId="0" shapeId="0" xr:uid="{E43694EC-B8F1-45DF-994C-57A02DB5DDFF}">
      <text>
        <r>
          <rPr>
            <b/>
            <sz val="9"/>
            <color indexed="81"/>
            <rFont val="Tahoma"/>
            <family val="2"/>
          </rPr>
          <t>Sean Stanley:</t>
        </r>
        <r>
          <rPr>
            <sz val="9"/>
            <color indexed="81"/>
            <rFont val="Tahoma"/>
            <family val="2"/>
          </rPr>
          <t xml:space="preserve">
to include elder check when made into actual region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Sean Stanley</author>
  </authors>
  <commentList>
    <comment ref="E2" authorId="0" shapeId="0" xr:uid="{A37979C8-0D92-44BE-878F-516F78032869}">
      <text>
        <r>
          <rPr>
            <b/>
            <sz val="9"/>
            <color indexed="81"/>
            <rFont val="Tahoma"/>
            <charset val="1"/>
          </rPr>
          <t>Sean Stanley:</t>
        </r>
        <r>
          <rPr>
            <sz val="9"/>
            <color indexed="81"/>
            <rFont val="Tahoma"/>
            <charset val="1"/>
          </rPr>
          <t xml:space="preserve">
suuuuuper unsure of parts of this.</t>
        </r>
      </text>
    </comment>
    <comment ref="E4" authorId="0" shapeId="0" xr:uid="{BAA8C530-BBC7-4813-ACDE-C70F957CF3A5}">
      <text>
        <r>
          <rPr>
            <b/>
            <sz val="9"/>
            <color indexed="81"/>
            <rFont val="Tahoma"/>
            <family val="2"/>
          </rPr>
          <t>Sean Stanley:</t>
        </r>
        <r>
          <rPr>
            <sz val="9"/>
            <color indexed="81"/>
            <rFont val="Tahoma"/>
            <family val="2"/>
          </rPr>
          <t xml:space="preserve">
messy gem amounts from yeti. Was 9 short on test</t>
        </r>
      </text>
    </comment>
    <comment ref="F5" authorId="0" shapeId="0" xr:uid="{2966C503-F135-4A6C-ACA0-EC094544556A}">
      <text>
        <r>
          <rPr>
            <b/>
            <sz val="9"/>
            <color indexed="81"/>
            <rFont val="Tahoma"/>
            <family val="2"/>
          </rPr>
          <t>Sean Stanley:</t>
        </r>
        <r>
          <rPr>
            <sz val="9"/>
            <color indexed="81"/>
            <rFont val="Tahoma"/>
            <family val="2"/>
          </rPr>
          <t xml:space="preserve">
average of 3 was 1079.67. seems pretty consistent</t>
        </r>
      </text>
    </comment>
    <comment ref="A8" authorId="0" shapeId="0" xr:uid="{21651613-0BE3-4CBB-8D96-706805015C67}">
      <text>
        <r>
          <rPr>
            <b/>
            <sz val="9"/>
            <color indexed="81"/>
            <rFont val="Tahoma"/>
            <family val="2"/>
          </rPr>
          <t>Sean Stanley:</t>
        </r>
        <r>
          <rPr>
            <sz val="9"/>
            <color indexed="81"/>
            <rFont val="Tahoma"/>
            <family val="2"/>
          </rPr>
          <t xml:space="preserve">
charge is not needed for time challenge. Can also get one in fountain with a single jump</t>
        </r>
      </text>
    </comment>
    <comment ref="D11" authorId="0" shapeId="0" xr:uid="{97E416E5-8FB3-43B0-B976-8A1F74DE1D92}">
      <text>
        <r>
          <rPr>
            <b/>
            <sz val="9"/>
            <color indexed="81"/>
            <rFont val="Tahoma"/>
            <family val="2"/>
          </rPr>
          <t>Sean Stanley:</t>
        </r>
        <r>
          <rPr>
            <sz val="9"/>
            <color indexed="81"/>
            <rFont val="Tahoma"/>
            <family val="2"/>
          </rPr>
          <t xml:space="preserve">
can DJ it and then use E since E is needed to get into here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Sean Stanley</author>
  </authors>
  <commentList>
    <comment ref="Q4" authorId="0" shapeId="0" xr:uid="{195C990B-DB8C-48E3-B39C-B27C12DE1842}">
      <text>
        <r>
          <rPr>
            <b/>
            <sz val="9"/>
            <color indexed="81"/>
            <rFont val="Tahoma"/>
            <family val="2"/>
          </rPr>
          <t>Sean Stanley:</t>
        </r>
        <r>
          <rPr>
            <sz val="9"/>
            <color indexed="81"/>
            <rFont val="Tahoma"/>
            <family val="2"/>
          </rPr>
          <t xml:space="preserve">
separated just in case this wants to be considered part of dark mine. Doesn't matter, it's all accessible together at this point in the game</t>
        </r>
      </text>
    </comment>
    <comment ref="E10" authorId="0" shapeId="0" xr:uid="{C24F5B8D-BCF9-479F-9A99-065152EE2444}">
      <text>
        <r>
          <rPr>
            <b/>
            <sz val="9"/>
            <color indexed="81"/>
            <rFont val="Tahoma"/>
            <family val="2"/>
          </rPr>
          <t>Sean Stanley:</t>
        </r>
        <r>
          <rPr>
            <sz val="9"/>
            <color indexed="81"/>
            <rFont val="Tahoma"/>
            <family val="2"/>
          </rPr>
          <t xml:space="preserve">
enemy kill options involving ice still listed as that here since Ice is not strictly required</t>
        </r>
      </text>
    </comment>
    <comment ref="N19" authorId="0" shapeId="0" xr:uid="{D0E34EF0-3DB8-4B9F-9549-F8E01A9AF143}">
      <text>
        <r>
          <rPr>
            <b/>
            <sz val="9"/>
            <color indexed="81"/>
            <rFont val="Tahoma"/>
            <family val="2"/>
          </rPr>
          <t>Sean Stanley:</t>
        </r>
        <r>
          <rPr>
            <sz val="9"/>
            <color indexed="81"/>
            <rFont val="Tahoma"/>
            <family val="2"/>
          </rPr>
          <t xml:space="preserve">
includes small robo gnorcs which are chargeable</t>
        </r>
      </text>
    </comment>
    <comment ref="M22" authorId="0" shapeId="0" xr:uid="{138AC929-D55F-4B52-9C66-2FAB62923481}">
      <text>
        <r>
          <rPr>
            <b/>
            <sz val="9"/>
            <color indexed="81"/>
            <rFont val="Tahoma"/>
            <family val="2"/>
          </rPr>
          <t>Sean Stanley:</t>
        </r>
        <r>
          <rPr>
            <sz val="9"/>
            <color indexed="81"/>
            <rFont val="Tahoma"/>
            <family val="2"/>
          </rPr>
          <t xml:space="preserve">
does not include 2 baskets at start of caged room that are technically gettable without E</t>
        </r>
      </text>
    </comment>
    <comment ref="N26" authorId="0" shapeId="0" xr:uid="{D81D6887-7376-4138-A561-88DDA1DD72E2}">
      <text>
        <r>
          <rPr>
            <b/>
            <sz val="9"/>
            <color indexed="81"/>
            <rFont val="Tahoma"/>
            <family val="2"/>
          </rPr>
          <t>Sean Stanley:</t>
        </r>
        <r>
          <rPr>
            <sz val="9"/>
            <color indexed="81"/>
            <rFont val="Tahoma"/>
            <family val="2"/>
          </rPr>
          <t xml:space="preserve">
includes 20(?) from small robo gnorc you have to awkwardly charge from above to get. By the headbash switch thing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Sean Stanley</author>
  </authors>
  <commentList>
    <comment ref="E2" authorId="0" shapeId="0" xr:uid="{0AE3A885-FF15-4F9F-937D-7A6C7CFE8A0F}">
      <text>
        <r>
          <rPr>
            <b/>
            <sz val="9"/>
            <color indexed="81"/>
            <rFont val="Tahoma"/>
            <charset val="1"/>
          </rPr>
          <t>Sean Stanley:</t>
        </r>
        <r>
          <rPr>
            <sz val="9"/>
            <color indexed="81"/>
            <rFont val="Tahoma"/>
            <charset val="1"/>
          </rPr>
          <t xml:space="preserve">
</t>
        </r>
      </text>
    </comment>
    <comment ref="E7" authorId="0" shapeId="0" xr:uid="{50DF7246-DC8A-4EEF-9E58-7A979F7885B4}">
      <text>
        <r>
          <rPr>
            <b/>
            <sz val="9"/>
            <color indexed="81"/>
            <rFont val="Tahoma"/>
            <family val="2"/>
          </rPr>
          <t>Sean Stanley:</t>
        </r>
        <r>
          <rPr>
            <sz val="9"/>
            <color indexed="81"/>
            <rFont val="Tahoma"/>
            <family val="2"/>
          </rPr>
          <t xml:space="preserve">
huge gnorcs in debris cave very hard to get all 40 gems from</t>
        </r>
      </text>
    </comment>
    <comment ref="L8" authorId="0" shapeId="0" xr:uid="{3C2A67DB-1346-4776-B73F-1D4FAF6905D4}">
      <text>
        <r>
          <rPr>
            <b/>
            <sz val="9"/>
            <color indexed="81"/>
            <rFont val="Tahoma"/>
            <family val="2"/>
          </rPr>
          <t>Sean Stanley:</t>
        </r>
        <r>
          <rPr>
            <sz val="9"/>
            <color indexed="81"/>
            <rFont val="Tahoma"/>
            <family val="2"/>
          </rPr>
          <t xml:space="preserve">
Ice + Charge worsk but is a bit glitchy? Or finicky</t>
        </r>
      </text>
    </comment>
    <comment ref="H9" authorId="0" shapeId="0" xr:uid="{7904E21C-870D-46B1-B1D1-BFF6FD2FC23E}">
      <text>
        <r>
          <rPr>
            <b/>
            <sz val="9"/>
            <color indexed="81"/>
            <rFont val="Tahoma"/>
            <family val="2"/>
          </rPr>
          <t>Sean Stanley:</t>
        </r>
        <r>
          <rPr>
            <sz val="9"/>
            <color indexed="81"/>
            <rFont val="Tahoma"/>
            <family val="2"/>
          </rPr>
          <t xml:space="preserve">
can't horn dive but need charge to get to it anyways so N/A</t>
        </r>
      </text>
    </comment>
    <comment ref="H10" authorId="0" shapeId="0" xr:uid="{AC8C0EE9-3297-40C8-AF20-52077543FA32}">
      <text>
        <r>
          <rPr>
            <b/>
            <sz val="9"/>
            <color indexed="81"/>
            <rFont val="Tahoma"/>
            <family val="2"/>
          </rPr>
          <t>Sean Stanley:</t>
        </r>
        <r>
          <rPr>
            <sz val="9"/>
            <color indexed="81"/>
            <rFont val="Tahoma"/>
            <family val="2"/>
          </rPr>
          <t xml:space="preserve">
Glide is here because you can get to the chests without glide but need glide to get the gems from them</t>
        </r>
      </text>
    </comment>
    <comment ref="J13" authorId="0" shapeId="0" xr:uid="{1A53472A-111E-4BDC-A247-D582E047F521}">
      <text>
        <r>
          <rPr>
            <b/>
            <sz val="9"/>
            <color indexed="81"/>
            <rFont val="Tahoma"/>
            <family val="2"/>
          </rPr>
          <t>Sean Stanley:</t>
        </r>
        <r>
          <rPr>
            <sz val="9"/>
            <color indexed="81"/>
            <rFont val="Tahoma"/>
            <family val="2"/>
          </rPr>
          <t xml:space="preserve">
25 are in a metal chest in the area you glide to to avoid wall kicking</t>
        </r>
      </text>
    </comment>
    <comment ref="J17" authorId="0" shapeId="0" xr:uid="{1E90CF51-083A-45B4-A844-68C23743EA3C}">
      <text>
        <r>
          <rPr>
            <b/>
            <sz val="9"/>
            <color indexed="81"/>
            <rFont val="Tahoma"/>
            <family val="2"/>
          </rPr>
          <t>Sean Stanley:</t>
        </r>
        <r>
          <rPr>
            <sz val="9"/>
            <color indexed="81"/>
            <rFont val="Tahoma"/>
            <family val="2"/>
          </rPr>
          <t xml:space="preserve">
average over 5 runs was 703.4</t>
        </r>
      </text>
    </comment>
    <comment ref="F18" authorId="0" shapeId="0" xr:uid="{BB549991-5EF5-44A5-B909-3AC68551C1DF}">
      <text>
        <r>
          <rPr>
            <b/>
            <sz val="9"/>
            <color indexed="81"/>
            <rFont val="Tahoma"/>
            <family val="2"/>
          </rPr>
          <t>Sean Stanley:</t>
        </r>
        <r>
          <rPr>
            <sz val="9"/>
            <color indexed="81"/>
            <rFont val="Tahoma"/>
            <family val="2"/>
          </rPr>
          <t xml:space="preserve">
possibly short by 50? Think I missed a dig spot near the start</t>
        </r>
      </text>
    </comment>
    <comment ref="J18" authorId="0" shapeId="0" xr:uid="{5448C677-5614-4FDC-93F2-AD94E974E822}">
      <text>
        <r>
          <rPr>
            <b/>
            <sz val="9"/>
            <color indexed="81"/>
            <rFont val="Tahoma"/>
            <family val="2"/>
          </rPr>
          <t>Sean Stanley:</t>
        </r>
        <r>
          <rPr>
            <sz val="9"/>
            <color indexed="81"/>
            <rFont val="Tahoma"/>
            <family val="2"/>
          </rPr>
          <t xml:space="preserve">
average of 6 was 831.83</t>
        </r>
      </text>
    </comment>
    <comment ref="E28" authorId="0" shapeId="0" xr:uid="{FFC340A6-0861-4771-8981-5F1854E7EAFB}">
      <text>
        <r>
          <rPr>
            <b/>
            <sz val="9"/>
            <color indexed="81"/>
            <rFont val="Tahoma"/>
            <family val="2"/>
          </rPr>
          <t>Sean Stanley:</t>
        </r>
        <r>
          <rPr>
            <sz val="9"/>
            <color indexed="81"/>
            <rFont val="Tahoma"/>
            <family val="2"/>
          </rPr>
          <t xml:space="preserve">
might want to requires breaths? Horn diving works but is a bit awkward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Sean Stanley</author>
  </authors>
  <commentList>
    <comment ref="E2" authorId="0" shapeId="0" xr:uid="{4E342951-A668-4E45-B6EA-A308DDE224EA}">
      <text>
        <r>
          <rPr>
            <b/>
            <sz val="9"/>
            <color indexed="81"/>
            <rFont val="Tahoma"/>
            <charset val="1"/>
          </rPr>
          <t>Sean Stanley:</t>
        </r>
        <r>
          <rPr>
            <sz val="9"/>
            <color indexed="81"/>
            <rFont val="Tahoma"/>
            <charset val="1"/>
          </rPr>
          <t xml:space="preserve">
</t>
        </r>
      </text>
    </comment>
    <comment ref="E4" authorId="0" shapeId="0" xr:uid="{35A42910-4793-4CDF-826C-9FA012BAC1B9}">
      <text>
        <r>
          <rPr>
            <b/>
            <sz val="9"/>
            <color indexed="81"/>
            <rFont val="Tahoma"/>
            <family val="2"/>
          </rPr>
          <t>Sean Stanley:</t>
        </r>
        <r>
          <rPr>
            <sz val="9"/>
            <color indexed="81"/>
            <rFont val="Tahoma"/>
            <family val="2"/>
          </rPr>
          <t xml:space="preserve">
to include elder check when made into actual region</t>
        </r>
      </text>
    </comment>
    <comment ref="A13" authorId="0" shapeId="0" xr:uid="{05A0B5AE-53D2-44A1-AAC9-58E8C6F0EE63}">
      <text>
        <r>
          <rPr>
            <b/>
            <sz val="9"/>
            <color indexed="81"/>
            <rFont val="Tahoma"/>
            <family val="2"/>
          </rPr>
          <t>Sean Stanley:</t>
        </r>
        <r>
          <rPr>
            <sz val="9"/>
            <color indexed="81"/>
            <rFont val="Tahoma"/>
            <family val="2"/>
          </rPr>
          <t xml:space="preserve">
can get earlier but could be logic problem if missed initially</t>
        </r>
      </text>
    </comment>
    <comment ref="A14" authorId="0" shapeId="0" xr:uid="{24D20305-5683-46F0-91FC-784202C30A29}">
      <text>
        <r>
          <rPr>
            <b/>
            <sz val="9"/>
            <color indexed="81"/>
            <rFont val="Tahoma"/>
            <family val="2"/>
          </rPr>
          <t>Sean Stanley:</t>
        </r>
        <r>
          <rPr>
            <sz val="9"/>
            <color indexed="81"/>
            <rFont val="Tahoma"/>
            <family val="2"/>
          </rPr>
          <t xml:space="preserve">
here to avoid logic issues if missed</t>
        </r>
      </text>
    </comment>
    <comment ref="A18" authorId="0" shapeId="0" xr:uid="{CB3173D8-D6D2-40F2-A1E8-DB3C3CD5EC26}">
      <text>
        <r>
          <rPr>
            <b/>
            <sz val="9"/>
            <color indexed="81"/>
            <rFont val="Tahoma"/>
            <family val="2"/>
          </rPr>
          <t>Sean Stanley:</t>
        </r>
        <r>
          <rPr>
            <sz val="9"/>
            <color indexed="81"/>
            <rFont val="Tahoma"/>
            <family val="2"/>
          </rPr>
          <t xml:space="preserve">
possibly require glide? I myself am who put this area to only glide in logic and I maybe regret it</t>
        </r>
      </text>
    </comment>
    <comment ref="D23" authorId="0" shapeId="0" xr:uid="{3E5411A1-C424-4768-9275-2DD67822F785}">
      <text>
        <r>
          <rPr>
            <b/>
            <sz val="9"/>
            <color indexed="81"/>
            <rFont val="Tahoma"/>
            <family val="2"/>
          </rPr>
          <t>Sean Stanley:</t>
        </r>
        <r>
          <rPr>
            <sz val="9"/>
            <color indexed="81"/>
            <rFont val="Tahoma"/>
            <family val="2"/>
          </rPr>
          <t xml:space="preserve">
assuming glide to whirlwind. Even if pole spinning instead it still needs glide</t>
        </r>
      </text>
    </comment>
    <comment ref="J23" authorId="0" shapeId="0" xr:uid="{EDBF2427-A4C9-402D-9C7C-7C87392B13A8}">
      <text>
        <r>
          <rPr>
            <b/>
            <sz val="9"/>
            <color indexed="81"/>
            <rFont val="Tahoma"/>
            <family val="2"/>
          </rPr>
          <t>Sean Stanley:</t>
        </r>
        <r>
          <rPr>
            <sz val="9"/>
            <color indexed="81"/>
            <rFont val="Tahoma"/>
            <family val="2"/>
          </rPr>
          <t xml:space="preserve">
average of 5 was 995. high variance between a few around 1100 and 2 in the 800s</t>
        </r>
      </text>
    </comment>
    <comment ref="J24" authorId="0" shapeId="0" xr:uid="{24393953-A5CE-49CA-AF6B-66CB17B8C229}">
      <text>
        <r>
          <rPr>
            <b/>
            <sz val="9"/>
            <color indexed="81"/>
            <rFont val="Tahoma"/>
            <family val="2"/>
          </rPr>
          <t>Sean Stanley:</t>
        </r>
        <r>
          <rPr>
            <sz val="9"/>
            <color indexed="81"/>
            <rFont val="Tahoma"/>
            <family val="2"/>
          </rPr>
          <t xml:space="preserve">
average of 6 was 992.83. Very difficult, the 3 highest scoring runs used a bomb in the biggest room</t>
        </r>
      </text>
    </comment>
    <comment ref="A30" authorId="0" shapeId="0" xr:uid="{EFED1B0A-EB93-40A1-97B1-1B9AFE74FA52}">
      <text>
        <r>
          <rPr>
            <b/>
            <sz val="9"/>
            <color indexed="81"/>
            <rFont val="Tahoma"/>
            <family val="2"/>
          </rPr>
          <t>Sean Stanley:</t>
        </r>
        <r>
          <rPr>
            <sz val="9"/>
            <color indexed="81"/>
            <rFont val="Tahoma"/>
            <family val="2"/>
          </rPr>
          <t xml:space="preserve">
missed 5 on re-test, try again?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Sean Stanley</author>
  </authors>
  <commentList>
    <comment ref="E2" authorId="0" shapeId="0" xr:uid="{39F32F68-1CE6-4E55-8263-DCFD3E590BF4}">
      <text>
        <r>
          <rPr>
            <b/>
            <sz val="9"/>
            <color indexed="81"/>
            <rFont val="Tahoma"/>
            <charset val="1"/>
          </rPr>
          <t>Sean Stanley:</t>
        </r>
        <r>
          <rPr>
            <sz val="9"/>
            <color indexed="81"/>
            <rFont val="Tahoma"/>
            <charset val="1"/>
          </rPr>
          <t xml:space="preserve">
suuuuuper unsure of parts of this.</t>
        </r>
      </text>
    </comment>
    <comment ref="E4" authorId="0" shapeId="0" xr:uid="{80530D4A-FA62-4C8A-AAA6-F7BD0782243B}">
      <text>
        <r>
          <rPr>
            <b/>
            <sz val="9"/>
            <color indexed="81"/>
            <rFont val="Tahoma"/>
            <family val="2"/>
          </rPr>
          <t>Sean Stanley:</t>
        </r>
        <r>
          <rPr>
            <sz val="9"/>
            <color indexed="81"/>
            <rFont val="Tahoma"/>
            <family val="2"/>
          </rPr>
          <t xml:space="preserve">
messy gem amounts from yeti. Was 9 short on test</t>
        </r>
      </text>
    </comment>
    <comment ref="A8" authorId="0" shapeId="0" xr:uid="{5DA634CA-37BB-43B8-ADF1-50DCF00B71AD}">
      <text>
        <r>
          <rPr>
            <b/>
            <sz val="9"/>
            <color indexed="81"/>
            <rFont val="Tahoma"/>
            <family val="2"/>
          </rPr>
          <t>Sean Stanley:</t>
        </r>
        <r>
          <rPr>
            <sz val="9"/>
            <color indexed="81"/>
            <rFont val="Tahoma"/>
            <family val="2"/>
          </rPr>
          <t xml:space="preserve">
charge is not needed for time challenge. Can also get one in fountain with a single jump</t>
        </r>
      </text>
    </comment>
    <comment ref="F10" authorId="0" shapeId="0" xr:uid="{785B165B-4238-4A62-80FE-03F2CA1D1E90}">
      <text>
        <r>
          <rPr>
            <b/>
            <sz val="9"/>
            <color indexed="81"/>
            <rFont val="Tahoma"/>
            <family val="2"/>
          </rPr>
          <t>Sean Stanley:</t>
        </r>
        <r>
          <rPr>
            <sz val="9"/>
            <color indexed="81"/>
            <rFont val="Tahoma"/>
            <family val="2"/>
          </rPr>
          <t xml:space="preserve">
average of 4 was 1020.5</t>
        </r>
      </text>
    </comment>
    <comment ref="D11" authorId="0" shapeId="0" xr:uid="{23DC3DBF-5A76-440E-81F5-A383A1A8D2FC}">
      <text>
        <r>
          <rPr>
            <b/>
            <sz val="9"/>
            <color indexed="81"/>
            <rFont val="Tahoma"/>
            <family val="2"/>
          </rPr>
          <t>Sean Stanley:</t>
        </r>
        <r>
          <rPr>
            <sz val="9"/>
            <color indexed="81"/>
            <rFont val="Tahoma"/>
            <family val="2"/>
          </rPr>
          <t xml:space="preserve">
can DJ it and then use E since E is needed to get into here</t>
        </r>
      </text>
    </comment>
    <comment ref="F11" authorId="0" shapeId="0" xr:uid="{DC6F30B0-FE11-4506-BCDC-87316B70E211}">
      <text>
        <r>
          <rPr>
            <b/>
            <sz val="9"/>
            <color indexed="81"/>
            <rFont val="Tahoma"/>
            <family val="2"/>
          </rPr>
          <t>Sean Stanley:</t>
        </r>
        <r>
          <rPr>
            <sz val="9"/>
            <color indexed="81"/>
            <rFont val="Tahoma"/>
            <family val="2"/>
          </rPr>
          <t xml:space="preserve">
average of 3 was 1079.67. seems pretty consistent</t>
        </r>
      </text>
    </comment>
    <comment ref="E33" authorId="0" shapeId="0" xr:uid="{CAB3D240-A20B-4EBB-B1A8-E0F6A939C4F1}">
      <text>
        <r>
          <rPr>
            <b/>
            <sz val="9"/>
            <color indexed="81"/>
            <rFont val="Tahoma"/>
            <family val="2"/>
          </rPr>
          <t>Sean Stanley:</t>
        </r>
        <r>
          <rPr>
            <sz val="9"/>
            <color indexed="81"/>
            <rFont val="Tahoma"/>
            <family val="2"/>
          </rPr>
          <t xml:space="preserve">
a little shaky on parts of this. Some enemies didn't give gems when I thought they did. Some immediates might've been double counted?</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Sean Stanley</author>
  </authors>
  <commentList>
    <comment ref="Q4" authorId="0" shapeId="0" xr:uid="{3BB722D7-AA29-46FF-8D0D-0F1DB6CDD76B}">
      <text>
        <r>
          <rPr>
            <b/>
            <sz val="9"/>
            <color indexed="81"/>
            <rFont val="Tahoma"/>
            <family val="2"/>
          </rPr>
          <t>Sean Stanley:</t>
        </r>
        <r>
          <rPr>
            <sz val="9"/>
            <color indexed="81"/>
            <rFont val="Tahoma"/>
            <family val="2"/>
          </rPr>
          <t xml:space="preserve">
separated just in case this wants to be considered part of dark mine. Doesn't matter, it's all accessible together at this point in the game</t>
        </r>
      </text>
    </comment>
    <comment ref="E10" authorId="0" shapeId="0" xr:uid="{A396BAF2-5861-4C76-8406-BA231DD06D36}">
      <text>
        <r>
          <rPr>
            <b/>
            <sz val="9"/>
            <color indexed="81"/>
            <rFont val="Tahoma"/>
            <family val="2"/>
          </rPr>
          <t>Sean Stanley:</t>
        </r>
        <r>
          <rPr>
            <sz val="9"/>
            <color indexed="81"/>
            <rFont val="Tahoma"/>
            <family val="2"/>
          </rPr>
          <t xml:space="preserve">
enemy kill options involving ice still listed as that here since Ice is not strictly required</t>
        </r>
      </text>
    </comment>
    <comment ref="N20" authorId="0" shapeId="0" xr:uid="{D3FE77C4-6609-45B2-A504-C60CDF28EF8B}">
      <text>
        <r>
          <rPr>
            <b/>
            <sz val="9"/>
            <color indexed="81"/>
            <rFont val="Tahoma"/>
            <family val="2"/>
          </rPr>
          <t>Sean Stanley:</t>
        </r>
        <r>
          <rPr>
            <sz val="9"/>
            <color indexed="81"/>
            <rFont val="Tahoma"/>
            <family val="2"/>
          </rPr>
          <t xml:space="preserve">
includes small robo gnorcs which are chargeable</t>
        </r>
      </text>
    </comment>
    <comment ref="I22" authorId="0" shapeId="0" xr:uid="{85695EDC-C68F-4C18-9F5C-F7A5087F9C79}">
      <text>
        <r>
          <rPr>
            <b/>
            <sz val="9"/>
            <color indexed="81"/>
            <rFont val="Tahoma"/>
            <charset val="1"/>
          </rPr>
          <t>Sean Stanley:</t>
        </r>
        <r>
          <rPr>
            <sz val="9"/>
            <color indexed="81"/>
            <rFont val="Tahoma"/>
            <charset val="1"/>
          </rPr>
          <t xml:space="preserve">
meant to be unarmored?</t>
        </r>
      </text>
    </comment>
    <comment ref="M24" authorId="0" shapeId="0" xr:uid="{7123AE99-B91A-426F-99A3-07355BB1DCE1}">
      <text>
        <r>
          <rPr>
            <b/>
            <sz val="9"/>
            <color indexed="81"/>
            <rFont val="Tahoma"/>
            <family val="2"/>
          </rPr>
          <t>Sean Stanley:</t>
        </r>
        <r>
          <rPr>
            <sz val="9"/>
            <color indexed="81"/>
            <rFont val="Tahoma"/>
            <family val="2"/>
          </rPr>
          <t xml:space="preserve">
does not include 2 baskets at start of caged room that are technically gettable without E</t>
        </r>
      </text>
    </comment>
    <comment ref="J27" authorId="0" shapeId="0" xr:uid="{2E6B3DBE-C9EE-4072-BC6A-A5347995B8F3}">
      <text>
        <r>
          <rPr>
            <b/>
            <sz val="9"/>
            <color indexed="81"/>
            <rFont val="Tahoma"/>
            <family val="2"/>
          </rPr>
          <t>Sean Stanley:</t>
        </r>
        <r>
          <rPr>
            <sz val="9"/>
            <color indexed="81"/>
            <rFont val="Tahoma"/>
            <family val="2"/>
          </rPr>
          <t xml:space="preserve">
average of 5 was 1222.38</t>
        </r>
      </text>
    </comment>
    <comment ref="J28" authorId="0" shapeId="0" xr:uid="{08DE22E7-D6AF-4EB3-BFE6-32FE9EA65F51}">
      <text>
        <r>
          <rPr>
            <b/>
            <sz val="9"/>
            <color indexed="81"/>
            <rFont val="Tahoma"/>
            <family val="2"/>
          </rPr>
          <t>Sean Stanley:</t>
        </r>
        <r>
          <rPr>
            <sz val="9"/>
            <color indexed="81"/>
            <rFont val="Tahoma"/>
            <family val="2"/>
          </rPr>
          <t xml:space="preserve">
average of 4 was 1097.5</t>
        </r>
      </text>
    </comment>
    <comment ref="N30" authorId="0" shapeId="0" xr:uid="{AFB0E1E0-F374-47E0-8665-B2FF3FA25936}">
      <text>
        <r>
          <rPr>
            <b/>
            <sz val="9"/>
            <color indexed="81"/>
            <rFont val="Tahoma"/>
            <family val="2"/>
          </rPr>
          <t>Sean Stanley:</t>
        </r>
        <r>
          <rPr>
            <sz val="9"/>
            <color indexed="81"/>
            <rFont val="Tahoma"/>
            <family val="2"/>
          </rPr>
          <t xml:space="preserve">
includes 20(?) from small robo gnorc you have to awkwardly charge from above to get. By the headbash switch thing</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Sean Stanley</author>
  </authors>
  <commentList>
    <comment ref="E2" authorId="0" shapeId="0" xr:uid="{9D33FDE0-63C3-4D03-8FF4-0A208FE258C7}">
      <text>
        <r>
          <rPr>
            <b/>
            <sz val="9"/>
            <color indexed="81"/>
            <rFont val="Tahoma"/>
            <charset val="1"/>
          </rPr>
          <t>Sean Stanley:</t>
        </r>
        <r>
          <rPr>
            <sz val="9"/>
            <color indexed="81"/>
            <rFont val="Tahoma"/>
            <charset val="1"/>
          </rPr>
          <t xml:space="preserve">
</t>
        </r>
      </text>
    </comment>
    <comment ref="E7" authorId="0" shapeId="0" xr:uid="{EF362D42-A8B6-4AEA-A462-A0A20A1527AA}">
      <text>
        <r>
          <rPr>
            <b/>
            <sz val="9"/>
            <color indexed="81"/>
            <rFont val="Tahoma"/>
            <family val="2"/>
          </rPr>
          <t>Sean Stanley:</t>
        </r>
        <r>
          <rPr>
            <sz val="9"/>
            <color indexed="81"/>
            <rFont val="Tahoma"/>
            <family val="2"/>
          </rPr>
          <t xml:space="preserve">
huge gnorcs in debris cave very hard to get all 40 gems from</t>
        </r>
      </text>
    </comment>
    <comment ref="L8" authorId="0" shapeId="0" xr:uid="{3C936B3C-63E5-4E16-B348-8D50B298D9D4}">
      <text>
        <r>
          <rPr>
            <b/>
            <sz val="9"/>
            <color indexed="81"/>
            <rFont val="Tahoma"/>
            <family val="2"/>
          </rPr>
          <t>Sean Stanley:</t>
        </r>
        <r>
          <rPr>
            <sz val="9"/>
            <color indexed="81"/>
            <rFont val="Tahoma"/>
            <family val="2"/>
          </rPr>
          <t xml:space="preserve">
Ice + Charge worsk but is a bit glitchy? Or finicky</t>
        </r>
      </text>
    </comment>
    <comment ref="H9" authorId="0" shapeId="0" xr:uid="{FB5CE0FB-3836-4E0D-84CD-F9464EA4BB3E}">
      <text>
        <r>
          <rPr>
            <b/>
            <sz val="9"/>
            <color indexed="81"/>
            <rFont val="Tahoma"/>
            <family val="2"/>
          </rPr>
          <t>Sean Stanley:</t>
        </r>
        <r>
          <rPr>
            <sz val="9"/>
            <color indexed="81"/>
            <rFont val="Tahoma"/>
            <family val="2"/>
          </rPr>
          <t xml:space="preserve">
can't horn dive but need charge to get to it anyways so N/A</t>
        </r>
      </text>
    </comment>
    <comment ref="H10" authorId="0" shapeId="0" xr:uid="{E30A9577-3B07-48E1-AEC4-1889CE45C493}">
      <text>
        <r>
          <rPr>
            <b/>
            <sz val="9"/>
            <color indexed="81"/>
            <rFont val="Tahoma"/>
            <family val="2"/>
          </rPr>
          <t>Sean Stanley:</t>
        </r>
        <r>
          <rPr>
            <sz val="9"/>
            <color indexed="81"/>
            <rFont val="Tahoma"/>
            <family val="2"/>
          </rPr>
          <t xml:space="preserve">
Glide is here because you can get to the chests without glide but need glide to get the gems from them</t>
        </r>
      </text>
    </comment>
    <comment ref="K11" authorId="0" shapeId="0" xr:uid="{6D9E3F5D-BB4D-482B-94FE-EAA72621C69A}">
      <text>
        <r>
          <rPr>
            <b/>
            <sz val="9"/>
            <color indexed="81"/>
            <rFont val="Tahoma"/>
            <family val="2"/>
          </rPr>
          <t>Sean Stanley:</t>
        </r>
        <r>
          <rPr>
            <sz val="9"/>
            <color indexed="81"/>
            <rFont val="Tahoma"/>
            <family val="2"/>
          </rPr>
          <t xml:space="preserve">
separated because swim is needed to get to them at all, then charge to break them open</t>
        </r>
      </text>
    </comment>
    <comment ref="G12" authorId="0" shapeId="0" xr:uid="{0289D772-7B2E-43DA-B9B2-753C2C0229D5}">
      <text>
        <r>
          <rPr>
            <b/>
            <sz val="9"/>
            <color indexed="81"/>
            <rFont val="Tahoma"/>
            <family val="2"/>
          </rPr>
          <t>Sean Stanley:</t>
        </r>
        <r>
          <rPr>
            <sz val="9"/>
            <color indexed="81"/>
            <rFont val="Tahoma"/>
            <family val="2"/>
          </rPr>
          <t xml:space="preserve">
here because you can't even get to them at all without supercharge, once you do have access you don't need anything else</t>
        </r>
      </text>
    </comment>
    <comment ref="J14" authorId="0" shapeId="0" xr:uid="{C652328D-A17D-49D9-A464-8786108F62DD}">
      <text>
        <r>
          <rPr>
            <b/>
            <sz val="9"/>
            <color indexed="81"/>
            <rFont val="Tahoma"/>
            <family val="2"/>
          </rPr>
          <t>Sean Stanley:</t>
        </r>
        <r>
          <rPr>
            <sz val="9"/>
            <color indexed="81"/>
            <rFont val="Tahoma"/>
            <family val="2"/>
          </rPr>
          <t xml:space="preserve">
25 are in a metal chest in the area you glide to to avoid wall kicking</t>
        </r>
      </text>
    </comment>
    <comment ref="J26" authorId="0" shapeId="0" xr:uid="{6CC2EFC1-AEB3-4F32-B747-C71451A4F0C5}">
      <text>
        <r>
          <rPr>
            <b/>
            <sz val="9"/>
            <color indexed="81"/>
            <rFont val="Tahoma"/>
            <family val="2"/>
          </rPr>
          <t>Sean Stanley:</t>
        </r>
        <r>
          <rPr>
            <sz val="9"/>
            <color indexed="81"/>
            <rFont val="Tahoma"/>
            <family val="2"/>
          </rPr>
          <t xml:space="preserve">
average over 5 runs was 703.4</t>
        </r>
      </text>
    </comment>
    <comment ref="J27" authorId="0" shapeId="0" xr:uid="{BA07C34D-8039-49BE-9A18-1738D514EC85}">
      <text>
        <r>
          <rPr>
            <b/>
            <sz val="9"/>
            <color indexed="81"/>
            <rFont val="Tahoma"/>
            <family val="2"/>
          </rPr>
          <t>Sean Stanley:</t>
        </r>
        <r>
          <rPr>
            <sz val="9"/>
            <color indexed="81"/>
            <rFont val="Tahoma"/>
            <family val="2"/>
          </rPr>
          <t xml:space="preserve">
average of 6 was 831.83</t>
        </r>
      </text>
    </comment>
    <comment ref="E29" authorId="0" shapeId="0" xr:uid="{7505FE5F-D6F0-450B-8E64-AABE4EC71DB2}">
      <text>
        <r>
          <rPr>
            <b/>
            <sz val="9"/>
            <color indexed="81"/>
            <rFont val="Tahoma"/>
            <family val="2"/>
          </rPr>
          <t>Sean Stanley:</t>
        </r>
        <r>
          <rPr>
            <sz val="9"/>
            <color indexed="81"/>
            <rFont val="Tahoma"/>
            <family val="2"/>
          </rPr>
          <t xml:space="preserve">
might want to requires breaths? Horn diving works but is a bit awkward</t>
        </r>
      </text>
    </comment>
    <comment ref="F31" authorId="0" shapeId="0" xr:uid="{79ECE2CE-9AF7-44A8-9E08-9DDA5C89F1BC}">
      <text>
        <r>
          <rPr>
            <b/>
            <sz val="9"/>
            <color indexed="81"/>
            <rFont val="Tahoma"/>
            <family val="2"/>
          </rPr>
          <t>Sean Stanley:</t>
        </r>
        <r>
          <rPr>
            <sz val="9"/>
            <color indexed="81"/>
            <rFont val="Tahoma"/>
            <family val="2"/>
          </rPr>
          <t xml:space="preserve">
possibly short by 50? Think I missed a dig spot near the start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Sean Stanley</author>
  </authors>
  <commentList>
    <comment ref="E2" authorId="0" shapeId="0" xr:uid="{9E4AEE81-9D10-4F5F-9572-EE67306D3370}">
      <text>
        <r>
          <rPr>
            <b/>
            <sz val="9"/>
            <color indexed="81"/>
            <rFont val="Tahoma"/>
            <charset val="1"/>
          </rPr>
          <t>Sean Stanley:</t>
        </r>
        <r>
          <rPr>
            <sz val="9"/>
            <color indexed="81"/>
            <rFont val="Tahoma"/>
            <charset val="1"/>
          </rPr>
          <t xml:space="preserve">
</t>
        </r>
      </text>
    </comment>
    <comment ref="A5" authorId="0" shapeId="0" xr:uid="{A8C28264-D5F1-4C1D-AD4B-32CD7F4E8762}">
      <text>
        <r>
          <rPr>
            <b/>
            <sz val="9"/>
            <color indexed="81"/>
            <rFont val="Tahoma"/>
            <family val="2"/>
          </rPr>
          <t>Sean Stanley:</t>
        </r>
        <r>
          <rPr>
            <sz val="9"/>
            <color indexed="81"/>
            <rFont val="Tahoma"/>
            <family val="2"/>
          </rPr>
          <t xml:space="preserve">
includes right path of otto's pool which has gems underneath the wheel</t>
        </r>
      </text>
    </comment>
    <comment ref="A12" authorId="0" shapeId="0" xr:uid="{5E637A3D-5836-4DCD-ABC4-5A4D12E69508}">
      <text>
        <r>
          <rPr>
            <b/>
            <sz val="9"/>
            <color indexed="81"/>
            <rFont val="Tahoma"/>
            <family val="2"/>
          </rPr>
          <t>Sean Stanley:</t>
        </r>
        <r>
          <rPr>
            <sz val="9"/>
            <color indexed="81"/>
            <rFont val="Tahoma"/>
            <family val="2"/>
          </rPr>
          <t xml:space="preserve">
some cannibals are from huts which give 25 total each. Also, some crabs in Otto's pool are missable and would require pool to be filled if not gotten initially</t>
        </r>
      </text>
    </comment>
    <comment ref="D12" authorId="0" shapeId="0" xr:uid="{AAF98E34-4E2F-4635-884A-F51584041FCB}">
      <text>
        <r>
          <rPr>
            <b/>
            <sz val="9"/>
            <color indexed="81"/>
            <rFont val="Tahoma"/>
            <family val="2"/>
          </rPr>
          <t>Sean Stanley:</t>
        </r>
        <r>
          <rPr>
            <sz val="9"/>
            <color indexed="81"/>
            <rFont val="Tahoma"/>
            <family val="2"/>
          </rPr>
          <t xml:space="preserve">
huts don't give any gems no matter what, so no DJ needed</t>
        </r>
      </text>
    </comment>
    <comment ref="A15" authorId="0" shapeId="0" xr:uid="{9AF35BC2-0F6B-413A-B8EE-BD03CEBEE349}">
      <text>
        <r>
          <rPr>
            <b/>
            <sz val="9"/>
            <color indexed="81"/>
            <rFont val="Tahoma"/>
            <family val="2"/>
          </rPr>
          <t>Sean Stanley:</t>
        </r>
        <r>
          <rPr>
            <sz val="9"/>
            <color indexed="81"/>
            <rFont val="Tahoma"/>
            <family val="2"/>
          </rPr>
          <t xml:space="preserve">
possibly require glide? I myself am who put this area to only glide in logic and I maybe regret it</t>
        </r>
      </text>
    </comment>
    <comment ref="C16" authorId="0" shapeId="0" xr:uid="{21B604CD-89F3-42B7-ADBA-639D9DB9C4BD}">
      <text>
        <r>
          <rPr>
            <b/>
            <sz val="9"/>
            <color indexed="81"/>
            <rFont val="Tahoma"/>
            <family val="2"/>
          </rPr>
          <t>Sean Stanley:</t>
        </r>
        <r>
          <rPr>
            <sz val="9"/>
            <color indexed="81"/>
            <rFont val="Tahoma"/>
            <family val="2"/>
          </rPr>
          <t xml:space="preserve">
doable without glide, maybe close?</t>
        </r>
      </text>
    </comment>
    <comment ref="B20" authorId="0" shapeId="0" xr:uid="{F0616360-288A-45CE-9206-A7CA76613ADD}">
      <text>
        <r>
          <rPr>
            <b/>
            <sz val="9"/>
            <color indexed="81"/>
            <rFont val="Tahoma"/>
            <family val="2"/>
          </rPr>
          <t>Sean Stanley:</t>
        </r>
        <r>
          <rPr>
            <sz val="9"/>
            <color indexed="81"/>
            <rFont val="Tahoma"/>
            <family val="2"/>
          </rPr>
          <t xml:space="preserve">
includes 148 from area in the back which is doable without DJ but not obviously</t>
        </r>
      </text>
    </comment>
    <comment ref="B22" authorId="0" shapeId="0" xr:uid="{FA429124-AF39-45EF-B591-C9713C206E10}">
      <text>
        <r>
          <rPr>
            <b/>
            <sz val="9"/>
            <color indexed="81"/>
            <rFont val="Tahoma"/>
            <family val="2"/>
          </rPr>
          <t>Sean Stanley:</t>
        </r>
        <r>
          <rPr>
            <sz val="9"/>
            <color indexed="81"/>
            <rFont val="Tahoma"/>
            <family val="2"/>
          </rPr>
          <t xml:space="preserve">
includes 75 from far back area seemingly needing DJ but doesn't</t>
        </r>
      </text>
    </comment>
    <comment ref="B23" authorId="0" shapeId="0" xr:uid="{358B3BD2-86B0-4FAC-BBA9-B7A247B0E1BA}">
      <text>
        <r>
          <rPr>
            <b/>
            <sz val="9"/>
            <color indexed="81"/>
            <rFont val="Tahoma"/>
            <family val="2"/>
          </rPr>
          <t>Sean Stanley:</t>
        </r>
        <r>
          <rPr>
            <sz val="9"/>
            <color indexed="81"/>
            <rFont val="Tahoma"/>
            <family val="2"/>
          </rPr>
          <t xml:space="preserve">
includes 25 from far back area</t>
        </r>
      </text>
    </comment>
    <comment ref="F23" authorId="0" shapeId="0" xr:uid="{6E6FEA96-E7C1-4422-A04E-41011AED4CB6}">
      <text>
        <r>
          <rPr>
            <b/>
            <sz val="9"/>
            <color indexed="81"/>
            <rFont val="Tahoma"/>
            <family val="2"/>
          </rPr>
          <t>Sean Stanley:</t>
        </r>
        <r>
          <rPr>
            <sz val="9"/>
            <color indexed="81"/>
            <rFont val="Tahoma"/>
            <family val="2"/>
          </rPr>
          <t xml:space="preserve">
50 are very annoying to get flying over away from Sgt. Byrd's tower</t>
        </r>
      </text>
    </comment>
    <comment ref="A30" authorId="0" shapeId="0" xr:uid="{BA6E4F25-0FBD-4F7E-B521-78E8B2D4A669}">
      <text>
        <r>
          <rPr>
            <b/>
            <sz val="9"/>
            <color indexed="81"/>
            <rFont val="Tahoma"/>
            <charset val="1"/>
          </rPr>
          <t>Sean Stanley:</t>
        </r>
        <r>
          <rPr>
            <sz val="9"/>
            <color indexed="81"/>
            <rFont val="Tahoma"/>
            <charset val="1"/>
          </rPr>
          <t xml:space="preserve">
verify requirements? Probably need pole spin for more?</t>
        </r>
      </text>
    </comment>
    <comment ref="I30" authorId="0" shapeId="0" xr:uid="{D9D1C90E-60B5-4EFF-B39C-BE58CDCCCBBC}">
      <text>
        <r>
          <rPr>
            <b/>
            <sz val="9"/>
            <color indexed="81"/>
            <rFont val="Tahoma"/>
            <family val="2"/>
          </rPr>
          <t>Sean Stanley:</t>
        </r>
        <r>
          <rPr>
            <sz val="9"/>
            <color indexed="81"/>
            <rFont val="Tahoma"/>
            <family val="2"/>
          </rPr>
          <t xml:space="preserve">
includes some a little tight of a DJ away from area next to dark gem. Maybe require glide? Also includes 1550 that requires knowing you can double jump around the middle height ledges. Maybe unfair? They would require glide if switching it</t>
        </r>
      </text>
    </comment>
    <comment ref="B31" authorId="0" shapeId="0" xr:uid="{28EBB30E-B321-401B-8431-FC9C98B7BD83}">
      <text>
        <r>
          <rPr>
            <b/>
            <sz val="9"/>
            <color indexed="81"/>
            <rFont val="Tahoma"/>
            <family val="2"/>
          </rPr>
          <t>Sean Stanley:</t>
        </r>
        <r>
          <rPr>
            <sz val="9"/>
            <color indexed="81"/>
            <rFont val="Tahoma"/>
            <family val="2"/>
          </rPr>
          <t xml:space="preserve">
probably meant to be 300? Couldn't find the 300th tho</t>
        </r>
      </text>
    </comment>
    <comment ref="D33" authorId="0" shapeId="0" xr:uid="{D9E91EF7-84D6-434F-8559-3F007BD58C02}">
      <text>
        <r>
          <rPr>
            <b/>
            <sz val="9"/>
            <color indexed="81"/>
            <rFont val="Tahoma"/>
            <family val="2"/>
          </rPr>
          <t>Sean Stanley:</t>
        </r>
        <r>
          <rPr>
            <sz val="9"/>
            <color indexed="81"/>
            <rFont val="Tahoma"/>
            <family val="2"/>
          </rPr>
          <t xml:space="preserve">
can glide directly to whirlwind or do pole spin route (which requires glide to fully do)</t>
        </r>
      </text>
    </comment>
    <comment ref="J36" authorId="0" shapeId="0" xr:uid="{F6033624-FAFE-4312-B7A4-431ED73580F5}">
      <text>
        <r>
          <rPr>
            <b/>
            <sz val="9"/>
            <color indexed="81"/>
            <rFont val="Tahoma"/>
            <family val="2"/>
          </rPr>
          <t>Sean Stanley:</t>
        </r>
        <r>
          <rPr>
            <sz val="9"/>
            <color indexed="81"/>
            <rFont val="Tahoma"/>
            <family val="2"/>
          </rPr>
          <t xml:space="preserve">
average of 5 was 995. high variance between a few around 1100 and 2 in the 800s</t>
        </r>
      </text>
    </comment>
    <comment ref="K36" authorId="0" shapeId="0" xr:uid="{E17845CA-9CC6-4253-8964-39CAE6951311}">
      <text>
        <r>
          <rPr>
            <b/>
            <sz val="9"/>
            <color indexed="81"/>
            <rFont val="Tahoma"/>
            <charset val="1"/>
          </rPr>
          <t>Sean Stanley:</t>
        </r>
        <r>
          <rPr>
            <sz val="9"/>
            <color indexed="81"/>
            <rFont val="Tahoma"/>
            <charset val="1"/>
          </rPr>
          <t xml:space="preserve">
double check needing only swim</t>
        </r>
      </text>
    </comment>
    <comment ref="J37" authorId="0" shapeId="0" xr:uid="{2704FCC1-8933-444C-BB92-7909B94061F6}">
      <text>
        <r>
          <rPr>
            <b/>
            <sz val="9"/>
            <color indexed="81"/>
            <rFont val="Tahoma"/>
            <family val="2"/>
          </rPr>
          <t>Sean Stanley:</t>
        </r>
        <r>
          <rPr>
            <sz val="9"/>
            <color indexed="81"/>
            <rFont val="Tahoma"/>
            <family val="2"/>
          </rPr>
          <t xml:space="preserve">
average of 6 was 992.83. Very difficult, the 3 highest scoring runs used a bomb in the biggest room</t>
        </r>
      </text>
    </comment>
    <comment ref="K37" authorId="0" shapeId="0" xr:uid="{10E450E1-8551-4B88-8904-5676D1F6C19D}">
      <text>
        <r>
          <rPr>
            <b/>
            <sz val="9"/>
            <color indexed="81"/>
            <rFont val="Tahoma"/>
            <charset val="1"/>
          </rPr>
          <t>Sean Stanley:</t>
        </r>
        <r>
          <rPr>
            <sz val="9"/>
            <color indexed="81"/>
            <rFont val="Tahoma"/>
            <charset val="1"/>
          </rPr>
          <t xml:space="preserve">
double check needing only swim</t>
        </r>
      </text>
    </comment>
    <comment ref="B39" authorId="0" shapeId="0" xr:uid="{203B5951-1903-433A-A46B-F054D106BC3F}">
      <text>
        <r>
          <rPr>
            <b/>
            <sz val="9"/>
            <color indexed="81"/>
            <rFont val="Tahoma"/>
            <family val="2"/>
          </rPr>
          <t>Sean Stanley:</t>
        </r>
        <r>
          <rPr>
            <sz val="9"/>
            <color indexed="81"/>
            <rFont val="Tahoma"/>
            <family val="2"/>
          </rPr>
          <t xml:space="preserve">
5 from a hut</t>
        </r>
      </text>
    </comment>
    <comment ref="D53" authorId="0" shapeId="0" xr:uid="{B8CE965B-B2F1-4969-B39A-5A8350855EF1}">
      <text>
        <r>
          <rPr>
            <b/>
            <sz val="9"/>
            <color indexed="81"/>
            <rFont val="Tahoma"/>
            <family val="2"/>
          </rPr>
          <t>Sean Stanley:</t>
        </r>
        <r>
          <rPr>
            <sz val="9"/>
            <color indexed="81"/>
            <rFont val="Tahoma"/>
            <family val="2"/>
          </rPr>
          <t xml:space="preserve">
huts don't give any gems no matter what, so no DJ needed</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Sean Stanley</author>
  </authors>
  <commentList>
    <comment ref="E2" authorId="0" shapeId="0" xr:uid="{17D479BA-B89B-442C-9AA4-2198A4571095}">
      <text>
        <r>
          <rPr>
            <b/>
            <sz val="9"/>
            <color indexed="81"/>
            <rFont val="Tahoma"/>
            <charset val="1"/>
          </rPr>
          <t>Sean Stanley:</t>
        </r>
        <r>
          <rPr>
            <sz val="9"/>
            <color indexed="81"/>
            <rFont val="Tahoma"/>
            <charset val="1"/>
          </rPr>
          <t xml:space="preserve">
suuuuuper unsure of parts of this.</t>
        </r>
      </text>
    </comment>
    <comment ref="A7" authorId="0" shapeId="0" xr:uid="{A48D8FAF-4B68-44CB-BA29-D1969B59E097}">
      <text>
        <r>
          <rPr>
            <b/>
            <sz val="9"/>
            <color indexed="81"/>
            <rFont val="Tahoma"/>
            <family val="2"/>
          </rPr>
          <t>Sean Stanley:</t>
        </r>
        <r>
          <rPr>
            <sz val="9"/>
            <color indexed="81"/>
            <rFont val="Tahoma"/>
            <family val="2"/>
          </rPr>
          <t xml:space="preserve">
charge is not needed for time challenge. Can also get one in fountain with a single jump</t>
        </r>
      </text>
    </comment>
    <comment ref="F8" authorId="0" shapeId="0" xr:uid="{A84CC370-0A09-4C18-B78A-45A84EAE8F5A}">
      <text>
        <r>
          <rPr>
            <b/>
            <sz val="9"/>
            <color indexed="81"/>
            <rFont val="Tahoma"/>
            <family val="2"/>
          </rPr>
          <t>Sean Stanley:</t>
        </r>
        <r>
          <rPr>
            <sz val="9"/>
            <color indexed="81"/>
            <rFont val="Tahoma"/>
            <family val="2"/>
          </rPr>
          <t xml:space="preserve">
died to respawn explode-y arrows to do them. Required to get everything explode-y</t>
        </r>
      </text>
    </comment>
    <comment ref="C9" authorId="0" shapeId="0" xr:uid="{59371B55-791E-4FD2-A212-78EF87142507}">
      <text>
        <r>
          <rPr>
            <b/>
            <sz val="9"/>
            <color indexed="81"/>
            <rFont val="Tahoma"/>
            <family val="2"/>
          </rPr>
          <t>Sean Stanley:</t>
        </r>
        <r>
          <rPr>
            <sz val="9"/>
            <color indexed="81"/>
            <rFont val="Tahoma"/>
            <family val="2"/>
          </rPr>
          <t xml:space="preserve">
maybe require glide for easier time getting to the water-raised platform?</t>
        </r>
      </text>
    </comment>
    <comment ref="C10" authorId="0" shapeId="0" xr:uid="{FA601857-D5A1-45B7-A78E-C3698AC27A56}">
      <text>
        <r>
          <rPr>
            <b/>
            <sz val="9"/>
            <color indexed="81"/>
            <rFont val="Tahoma"/>
            <family val="2"/>
          </rPr>
          <t>Sean Stanley:</t>
        </r>
        <r>
          <rPr>
            <sz val="9"/>
            <color indexed="81"/>
            <rFont val="Tahoma"/>
            <family val="2"/>
          </rPr>
          <t xml:space="preserve">
DJ to get to ledge with switch, maybe require glide?</t>
        </r>
      </text>
    </comment>
    <comment ref="D10" authorId="0" shapeId="0" xr:uid="{C9B54552-D020-4E72-B1F6-165B98130A0F}">
      <text>
        <r>
          <rPr>
            <b/>
            <sz val="9"/>
            <color indexed="81"/>
            <rFont val="Tahoma"/>
            <family val="2"/>
          </rPr>
          <t>Sean Stanley:</t>
        </r>
        <r>
          <rPr>
            <sz val="9"/>
            <color indexed="81"/>
            <rFont val="Tahoma"/>
            <family val="2"/>
          </rPr>
          <t xml:space="preserve">
can DJ it and then use E since E is needed to get into here</t>
        </r>
      </text>
    </comment>
    <comment ref="F11" authorId="0" shapeId="0" xr:uid="{B5E3CC97-A438-497A-A312-7E2A0021ED93}">
      <text>
        <r>
          <rPr>
            <b/>
            <sz val="9"/>
            <color indexed="81"/>
            <rFont val="Tahoma"/>
            <family val="2"/>
          </rPr>
          <t>Sean Stanley:</t>
        </r>
        <r>
          <rPr>
            <sz val="9"/>
            <color indexed="81"/>
            <rFont val="Tahoma"/>
            <family val="2"/>
          </rPr>
          <t xml:space="preserve">
average of 4 was 1020.5</t>
        </r>
      </text>
    </comment>
    <comment ref="F12" authorId="0" shapeId="0" xr:uid="{5033CC16-698D-4C87-A0D4-E9966DBFA0FF}">
      <text>
        <r>
          <rPr>
            <b/>
            <sz val="9"/>
            <color indexed="81"/>
            <rFont val="Tahoma"/>
            <family val="2"/>
          </rPr>
          <t>Sean Stanley:</t>
        </r>
        <r>
          <rPr>
            <sz val="9"/>
            <color indexed="81"/>
            <rFont val="Tahoma"/>
            <family val="2"/>
          </rPr>
          <t xml:space="preserve">
average of 3 was 1079.67. seems pretty consistent</t>
        </r>
      </text>
    </comment>
    <comment ref="D15" authorId="0" shapeId="0" xr:uid="{DB491E3B-F6DA-457A-96BC-191BF8BE27B0}">
      <text>
        <r>
          <rPr>
            <b/>
            <sz val="9"/>
            <color indexed="81"/>
            <rFont val="Tahoma"/>
            <family val="2"/>
          </rPr>
          <t>Sean Stanley:</t>
        </r>
        <r>
          <rPr>
            <sz val="9"/>
            <color indexed="81"/>
            <rFont val="Tahoma"/>
            <family val="2"/>
          </rPr>
          <t xml:space="preserve">
huts don't give any gems no matter what, so no DJ needed</t>
        </r>
      </text>
    </comment>
    <comment ref="J15" authorId="0" shapeId="0" xr:uid="{4DC61CB8-F8FE-4957-AC89-1FC21FB37192}">
      <text>
        <r>
          <rPr>
            <b/>
            <sz val="9"/>
            <color indexed="81"/>
            <rFont val="Tahoma"/>
            <family val="2"/>
          </rPr>
          <t>Sean Stanley:</t>
        </r>
        <r>
          <rPr>
            <sz val="9"/>
            <color indexed="81"/>
            <rFont val="Tahoma"/>
            <family val="2"/>
          </rPr>
          <t xml:space="preserve">
the first one in level that gave gems is inconsistent as FUCK holy shit. Not sure about others yet. Got 18 this time but can easily get less</t>
        </r>
      </text>
    </comment>
    <comment ref="B17" authorId="0" shapeId="0" xr:uid="{A3DFD3BA-7C2B-42E6-9B26-106FAB54C384}">
      <text>
        <r>
          <rPr>
            <b/>
            <sz val="9"/>
            <color indexed="81"/>
            <rFont val="Tahoma"/>
            <family val="2"/>
          </rPr>
          <t>Sean Stanley:</t>
        </r>
        <r>
          <rPr>
            <sz val="9"/>
            <color indexed="81"/>
            <rFont val="Tahoma"/>
            <family val="2"/>
          </rPr>
          <t xml:space="preserve">
not 100% sure on the total for the 2 right after wall kick spots</t>
        </r>
      </text>
    </comment>
    <comment ref="D18" authorId="0" shapeId="0" xr:uid="{F0364166-F634-4683-9DD8-0029D8D98293}">
      <text>
        <r>
          <rPr>
            <b/>
            <sz val="9"/>
            <color indexed="81"/>
            <rFont val="Tahoma"/>
            <family val="2"/>
          </rPr>
          <t>Sean Stanley:</t>
        </r>
        <r>
          <rPr>
            <sz val="9"/>
            <color indexed="81"/>
            <rFont val="Tahoma"/>
            <family val="2"/>
          </rPr>
          <t xml:space="preserve">
notably different in that DJ is ruled out here. Probably doable if clever but nah</t>
        </r>
      </text>
    </comment>
    <comment ref="J20" authorId="0" shapeId="0" xr:uid="{60760C5A-D23C-42EE-A9BC-3D2CB5A8E143}">
      <text>
        <r>
          <rPr>
            <b/>
            <sz val="9"/>
            <color indexed="81"/>
            <rFont val="Tahoma"/>
            <family val="2"/>
          </rPr>
          <t>Sean Stanley:</t>
        </r>
        <r>
          <rPr>
            <sz val="9"/>
            <color indexed="81"/>
            <rFont val="Tahoma"/>
            <family val="2"/>
          </rPr>
          <t xml:space="preserve">
includes 150 that I'm pretty sure were in this category (I suspect a dark shard or two and baskets/chests by the furnace after cannon dark gem)</t>
        </r>
      </text>
    </comment>
    <comment ref="J25" authorId="0" shapeId="0" xr:uid="{1CB88434-EC3A-4F5E-9331-3344E092C4FB}">
      <text>
        <r>
          <rPr>
            <b/>
            <sz val="9"/>
            <color indexed="81"/>
            <rFont val="Tahoma"/>
            <family val="2"/>
          </rPr>
          <t>Sean Stanley:</t>
        </r>
        <r>
          <rPr>
            <sz val="9"/>
            <color indexed="81"/>
            <rFont val="Tahoma"/>
            <family val="2"/>
          </rPr>
          <t xml:space="preserve">
super inconsistent just like the yeti? yiiiiiikes</t>
        </r>
      </text>
    </comment>
    <comment ref="J26" authorId="0" shapeId="0" xr:uid="{E208E99F-0EF2-4F2C-90EC-2DAC4B94E0B5}">
      <text>
        <r>
          <rPr>
            <b/>
            <sz val="9"/>
            <color indexed="81"/>
            <rFont val="Tahoma"/>
            <family val="2"/>
          </rPr>
          <t>Sean Stanley:</t>
        </r>
        <r>
          <rPr>
            <sz val="9"/>
            <color indexed="81"/>
            <rFont val="Tahoma"/>
            <family val="2"/>
          </rPr>
          <t xml:space="preserve">
includes 21 from 2 Yeti (10 and 11) that are just fucked</t>
        </r>
      </text>
    </comment>
    <comment ref="A29" authorId="0" shapeId="0" xr:uid="{4FACC494-5018-43CF-A0C6-D8686814F9A9}">
      <text>
        <r>
          <rPr>
            <b/>
            <sz val="9"/>
            <color indexed="81"/>
            <rFont val="Tahoma"/>
            <family val="2"/>
          </rPr>
          <t>Sean Stanley:</t>
        </r>
        <r>
          <rPr>
            <sz val="9"/>
            <color indexed="81"/>
            <rFont val="Tahoma"/>
            <family val="2"/>
          </rPr>
          <t xml:space="preserve">
cannon is reachable with just double jump fine enough imo</t>
        </r>
      </text>
    </comment>
    <comment ref="E29" authorId="0" shapeId="0" xr:uid="{95960459-4005-4BEB-8525-24803A4E8DA6}">
      <text>
        <r>
          <rPr>
            <b/>
            <sz val="9"/>
            <color indexed="81"/>
            <rFont val="Tahoma"/>
            <family val="2"/>
          </rPr>
          <t>Sean Stanley:</t>
        </r>
        <r>
          <rPr>
            <sz val="9"/>
            <color indexed="81"/>
            <rFont val="Tahoma"/>
            <family val="2"/>
          </rPr>
          <t xml:space="preserve">
cannon is reachable with just double jump fine enough imo</t>
        </r>
      </text>
    </comment>
    <comment ref="I32" authorId="0" shapeId="0" xr:uid="{7CE47907-1047-4B7B-977C-929B646D6AE9}">
      <text>
        <r>
          <rPr>
            <b/>
            <sz val="9"/>
            <color indexed="81"/>
            <rFont val="Tahoma"/>
            <family val="2"/>
          </rPr>
          <t>Sean Stanley:</t>
        </r>
        <r>
          <rPr>
            <sz val="9"/>
            <color indexed="81"/>
            <rFont val="Tahoma"/>
            <family val="2"/>
          </rPr>
          <t xml:space="preserve">
not sure if these are technically part of frostbite village or ice citadel, putting them here for simplicity</t>
        </r>
      </text>
    </comment>
    <comment ref="E34" authorId="0" shapeId="0" xr:uid="{A5680CF4-335E-4C24-9F96-46CDBEF2BE03}">
      <text>
        <r>
          <rPr>
            <b/>
            <sz val="9"/>
            <color indexed="81"/>
            <rFont val="Tahoma"/>
            <family val="2"/>
          </rPr>
          <t>Sean Stanley:</t>
        </r>
        <r>
          <rPr>
            <sz val="9"/>
            <color indexed="81"/>
            <rFont val="Tahoma"/>
            <family val="2"/>
          </rPr>
          <t xml:space="preserve">
a little shaky on parts of this. Some enemies didn't give gems when I thought they did. Some immediates might've been double counted?</t>
        </r>
      </text>
    </comment>
    <comment ref="C47" authorId="0" shapeId="0" xr:uid="{CD11FA23-65EE-4294-9893-20AA09BBF118}">
      <text>
        <r>
          <rPr>
            <b/>
            <sz val="9"/>
            <color indexed="81"/>
            <rFont val="Tahoma"/>
            <charset val="1"/>
          </rPr>
          <t>Sean Stanley:</t>
        </r>
        <r>
          <rPr>
            <sz val="9"/>
            <color indexed="81"/>
            <rFont val="Tahoma"/>
            <charset val="1"/>
          </rPr>
          <t xml:space="preserve">
double check only needing DJ</t>
        </r>
      </text>
    </comment>
    <comment ref="C48" authorId="0" shapeId="0" xr:uid="{142E0093-BA78-45B6-AFF3-B8CC460DFBDA}">
      <text>
        <r>
          <rPr>
            <b/>
            <sz val="9"/>
            <color indexed="81"/>
            <rFont val="Tahoma"/>
            <charset val="1"/>
          </rPr>
          <t>Sean Stanley:</t>
        </r>
        <r>
          <rPr>
            <sz val="9"/>
            <color indexed="81"/>
            <rFont val="Tahoma"/>
            <charset val="1"/>
          </rPr>
          <t xml:space="preserve">
double check only needing DJ</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Sean Stanley</author>
  </authors>
  <commentList>
    <comment ref="Q4" authorId="0" shapeId="0" xr:uid="{EDBD2F48-E2FA-4B79-A54A-9BD458D26325}">
      <text>
        <r>
          <rPr>
            <b/>
            <sz val="9"/>
            <color indexed="81"/>
            <rFont val="Tahoma"/>
            <family val="2"/>
          </rPr>
          <t>Sean Stanley:</t>
        </r>
        <r>
          <rPr>
            <sz val="9"/>
            <color indexed="81"/>
            <rFont val="Tahoma"/>
            <family val="2"/>
          </rPr>
          <t xml:space="preserve">
separated just in case this wants to be considered part of dark mine. Doesn't matter, it's all accessible together at this point in the game</t>
        </r>
      </text>
    </comment>
    <comment ref="N5" authorId="0" shapeId="0" xr:uid="{36EEF377-261F-47CC-AD58-521081F75DDA}">
      <text>
        <r>
          <rPr>
            <b/>
            <sz val="9"/>
            <color indexed="81"/>
            <rFont val="Tahoma"/>
            <family val="2"/>
          </rPr>
          <t>Sean Stanley:</t>
        </r>
        <r>
          <rPr>
            <sz val="9"/>
            <color indexed="81"/>
            <rFont val="Tahoma"/>
            <family val="2"/>
          </rPr>
          <t xml:space="preserve">
includes 70 that I'm not sure if is right. Right after 3 metal chests before moneybags and before robo guy by chargeable rocks</t>
        </r>
      </text>
    </comment>
    <comment ref="E9" authorId="0" shapeId="0" xr:uid="{CD5343EE-BE88-44CF-8CBC-2833EECD636B}">
      <text>
        <r>
          <rPr>
            <b/>
            <sz val="9"/>
            <color indexed="81"/>
            <rFont val="Tahoma"/>
            <family val="2"/>
          </rPr>
          <t>Sean Stanley:</t>
        </r>
        <r>
          <rPr>
            <sz val="9"/>
            <color indexed="81"/>
            <rFont val="Tahoma"/>
            <family val="2"/>
          </rPr>
          <t xml:space="preserve">
WI not strictly necessary to get the 2 phoenixes, firework chest, and 131 immediates after. My gem logic starts requiring WI at the first fire imp but could be changed</t>
        </r>
      </text>
    </comment>
    <comment ref="E13" authorId="0" shapeId="0" xr:uid="{B7B60B25-0A96-4FF5-AECF-94C253A091B3}">
      <text>
        <r>
          <rPr>
            <b/>
            <sz val="9"/>
            <color indexed="81"/>
            <rFont val="Tahoma"/>
            <family val="2"/>
          </rPr>
          <t>Sean Stanley:</t>
        </r>
        <r>
          <rPr>
            <sz val="9"/>
            <color indexed="81"/>
            <rFont val="Tahoma"/>
            <family val="2"/>
          </rPr>
          <t xml:space="preserve">
enemy kill options involving ice still listed as that here since Ice is not strictly required</t>
        </r>
      </text>
    </comment>
    <comment ref="A17" authorId="0" shapeId="0" xr:uid="{522FE544-FB3E-40A7-BD98-887FD1E83997}">
      <text>
        <r>
          <rPr>
            <b/>
            <sz val="9"/>
            <color indexed="81"/>
            <rFont val="Tahoma"/>
            <family val="2"/>
          </rPr>
          <t>Sean Stanley:</t>
        </r>
        <r>
          <rPr>
            <sz val="9"/>
            <color indexed="81"/>
            <rFont val="Tahoma"/>
            <family val="2"/>
          </rPr>
          <t xml:space="preserve">
includes 50 on ground in ship area and past the moving platforms. Also the area leaving the hub</t>
        </r>
      </text>
    </comment>
    <comment ref="N19" authorId="0" shapeId="0" xr:uid="{A9A7397D-6C37-4C82-81C9-B620B7EC9C8B}">
      <text>
        <r>
          <rPr>
            <b/>
            <sz val="9"/>
            <color indexed="81"/>
            <rFont val="Tahoma"/>
            <family val="2"/>
          </rPr>
          <t>Sean Stanley:</t>
        </r>
        <r>
          <rPr>
            <sz val="9"/>
            <color indexed="81"/>
            <rFont val="Tahoma"/>
            <family val="2"/>
          </rPr>
          <t xml:space="preserve">
includes small robo gnorcs which are chargeable</t>
        </r>
      </text>
    </comment>
    <comment ref="I20" authorId="0" shapeId="0" xr:uid="{22F1A885-3718-4762-AE3D-49D3B07EB40D}">
      <text>
        <r>
          <rPr>
            <b/>
            <sz val="9"/>
            <color indexed="81"/>
            <rFont val="Tahoma"/>
            <charset val="1"/>
          </rPr>
          <t>Sean Stanley:</t>
        </r>
        <r>
          <rPr>
            <sz val="9"/>
            <color indexed="81"/>
            <rFont val="Tahoma"/>
            <charset val="1"/>
          </rPr>
          <t xml:space="preserve">
meant to be unarmored?</t>
        </r>
      </text>
    </comment>
    <comment ref="M22" authorId="0" shapeId="0" xr:uid="{877A9905-D140-46BD-8D02-839B283C9EB1}">
      <text>
        <r>
          <rPr>
            <b/>
            <sz val="9"/>
            <color indexed="81"/>
            <rFont val="Tahoma"/>
            <family val="2"/>
          </rPr>
          <t>Sean Stanley:</t>
        </r>
        <r>
          <rPr>
            <sz val="9"/>
            <color indexed="81"/>
            <rFont val="Tahoma"/>
            <family val="2"/>
          </rPr>
          <t xml:space="preserve">
does not include 2 baskets at start of caged room that are technically gettable without E</t>
        </r>
      </text>
    </comment>
    <comment ref="M23" authorId="0" shapeId="0" xr:uid="{7A89D1BF-07A8-430C-9B94-26B59CC8E769}">
      <text>
        <r>
          <rPr>
            <b/>
            <sz val="9"/>
            <color indexed="81"/>
            <rFont val="Tahoma"/>
            <family val="2"/>
          </rPr>
          <t>Sean Stanley:</t>
        </r>
        <r>
          <rPr>
            <sz val="9"/>
            <color indexed="81"/>
            <rFont val="Tahoma"/>
            <family val="2"/>
          </rPr>
          <t xml:space="preserve">
includes middle robo-gnorcs (armored)</t>
        </r>
      </text>
    </comment>
    <comment ref="F25" authorId="0" shapeId="0" xr:uid="{C9E47042-FE40-4458-9BEF-31F9CCE781BA}">
      <text>
        <r>
          <rPr>
            <b/>
            <sz val="9"/>
            <color indexed="81"/>
            <rFont val="Tahoma"/>
            <family val="2"/>
          </rPr>
          <t>Sean Stanley:</t>
        </r>
        <r>
          <rPr>
            <sz val="9"/>
            <color indexed="81"/>
            <rFont val="Tahoma"/>
            <family val="2"/>
          </rPr>
          <t xml:space="preserve">
almost certainly meant to be 30. but they spread out and I save state screwed myself</t>
        </r>
      </text>
    </comment>
    <comment ref="N25" authorId="0" shapeId="0" xr:uid="{00E39766-27F0-4A5F-A9AE-F6F3CD2ADE47}">
      <text>
        <r>
          <rPr>
            <b/>
            <sz val="9"/>
            <color indexed="81"/>
            <rFont val="Tahoma"/>
            <family val="2"/>
          </rPr>
          <t>Sean Stanley:</t>
        </r>
        <r>
          <rPr>
            <sz val="9"/>
            <color indexed="81"/>
            <rFont val="Tahoma"/>
            <family val="2"/>
          </rPr>
          <t xml:space="preserve">
includes 20(?) from small robo gnorc you have to awkwardly charge from above to get. By the headbash switch thing</t>
        </r>
      </text>
    </comment>
    <comment ref="J26" authorId="0" shapeId="0" xr:uid="{C1F4C8DE-FA47-4A7D-973A-0F4DD3CEFC36}">
      <text>
        <r>
          <rPr>
            <b/>
            <sz val="9"/>
            <color indexed="81"/>
            <rFont val="Tahoma"/>
            <family val="2"/>
          </rPr>
          <t>Sean Stanley:</t>
        </r>
        <r>
          <rPr>
            <sz val="9"/>
            <color indexed="81"/>
            <rFont val="Tahoma"/>
            <family val="2"/>
          </rPr>
          <t xml:space="preserve">
average of 5 was 1222.38</t>
        </r>
      </text>
    </comment>
    <comment ref="K26" authorId="0" shapeId="0" xr:uid="{99A5882A-BFEC-4D8F-89D2-60969051D383}">
      <text>
        <r>
          <rPr>
            <b/>
            <sz val="9"/>
            <color indexed="81"/>
            <rFont val="Tahoma"/>
            <charset val="1"/>
          </rPr>
          <t>Sean Stanley:</t>
        </r>
        <r>
          <rPr>
            <sz val="9"/>
            <color indexed="81"/>
            <rFont val="Tahoma"/>
            <charset val="1"/>
          </rPr>
          <t xml:space="preserve">
double check needing just ball gadget</t>
        </r>
      </text>
    </comment>
    <comment ref="J27" authorId="0" shapeId="0" xr:uid="{34B0BF9F-BE1B-4305-BAA8-78BB4E75CA6D}">
      <text>
        <r>
          <rPr>
            <b/>
            <sz val="9"/>
            <color indexed="81"/>
            <rFont val="Tahoma"/>
            <family val="2"/>
          </rPr>
          <t>Sean Stanley:</t>
        </r>
        <r>
          <rPr>
            <sz val="9"/>
            <color indexed="81"/>
            <rFont val="Tahoma"/>
            <family val="2"/>
          </rPr>
          <t xml:space="preserve">
average of 4 was 1097.5</t>
        </r>
      </text>
    </comment>
  </commentList>
</comments>
</file>

<file path=xl/sharedStrings.xml><?xml version="1.0" encoding="utf-8"?>
<sst xmlns="http://schemas.openxmlformats.org/spreadsheetml/2006/main" count="3083" uniqueCount="561">
  <si>
    <t>Description</t>
  </si>
  <si>
    <t>Amount</t>
  </si>
  <si>
    <t>N/A</t>
  </si>
  <si>
    <t>None</t>
  </si>
  <si>
    <t>On Ground</t>
  </si>
  <si>
    <t>Chests/Baskets</t>
  </si>
  <si>
    <t>DJ</t>
  </si>
  <si>
    <t>DJ &amp; Glide</t>
  </si>
  <si>
    <t>Immediate (on ground + chests/baskets)</t>
  </si>
  <si>
    <t>Middle Gnorc (unarmored) in room</t>
  </si>
  <si>
    <t>2 Huge Gnorcs (unarmored)</t>
  </si>
  <si>
    <t>FE or Ice + Charge</t>
  </si>
  <si>
    <t>FE or I + Charge or Charge</t>
  </si>
  <si>
    <t>Huge Gnorc (unarmored) outside</t>
  </si>
  <si>
    <t>FE or I + Charge</t>
  </si>
  <si>
    <t>Huge Gnorc (armored) in cave</t>
  </si>
  <si>
    <t>FE + Charge or I + Charge</t>
  </si>
  <si>
    <t>Armored Chest (firework)</t>
  </si>
  <si>
    <t>F</t>
  </si>
  <si>
    <t>Region Reqs</t>
  </si>
  <si>
    <t>Individual Reqs</t>
  </si>
  <si>
    <t>Hunter Area Pre-Glide</t>
  </si>
  <si>
    <t>2 Huge Gnorc (armored)</t>
  </si>
  <si>
    <t>Starting Area</t>
  </si>
  <si>
    <t>Immediate (on ground)</t>
  </si>
  <si>
    <t>Baskets</t>
  </si>
  <si>
    <t>FEWI or Charge or DJ</t>
  </si>
  <si>
    <t>Metal Chests</t>
  </si>
  <si>
    <t>E or Charge or DJ</t>
  </si>
  <si>
    <t>Dark Shards</t>
  </si>
  <si>
    <t>Charge or DJ</t>
  </si>
  <si>
    <t>Breakable Wall Near Elder</t>
  </si>
  <si>
    <t>Charge</t>
  </si>
  <si>
    <t>Post-Dark Gem by Ember</t>
  </si>
  <si>
    <t>Armored Chest before bridge (firework)</t>
  </si>
  <si>
    <t>Ball Gadget Area (post-Hunter)</t>
  </si>
  <si>
    <t>Immediate (on ground + baskets)</t>
  </si>
  <si>
    <t>Immediate (on ground + baskets + chests)</t>
  </si>
  <si>
    <t>Post-Double Jump Ledge Next to Lab</t>
  </si>
  <si>
    <t>Charge + Glide</t>
  </si>
  <si>
    <t>Lab Path</t>
  </si>
  <si>
    <t>DJ &amp; Charge</t>
  </si>
  <si>
    <t>2 Gnorc Archers</t>
  </si>
  <si>
    <t>Immediate (on ground + chests + baskets + dark shards)</t>
  </si>
  <si>
    <t>Crocoviles + Critters</t>
  </si>
  <si>
    <t>Crocovile</t>
  </si>
  <si>
    <t>Mini Pyramid (Crocovile Gate)</t>
  </si>
  <si>
    <t>Baskets + Chests behind gate</t>
  </si>
  <si>
    <t>Mini Pyramid (Electric Gate)</t>
  </si>
  <si>
    <t>E</t>
  </si>
  <si>
    <t>Crocoviles</t>
  </si>
  <si>
    <t>Chests + Baskets</t>
  </si>
  <si>
    <t>3 Baskets behind chargeable thing</t>
  </si>
  <si>
    <t>Metal Chest behind chargeable thing in Elder's tree</t>
  </si>
  <si>
    <t>Pole Spin</t>
  </si>
  <si>
    <t>Pole Spinning in Elder's Tree area</t>
  </si>
  <si>
    <t>Baskets + Chests</t>
  </si>
  <si>
    <t>Armored Chest (firework at top of tree)</t>
  </si>
  <si>
    <t>Armored Chest (firework at middle of tree)</t>
  </si>
  <si>
    <t>Pole Spin + Charge or Glide</t>
  </si>
  <si>
    <t>Cave via Pole Spinning a bit away from Blink</t>
  </si>
  <si>
    <t>Metal Chest</t>
  </si>
  <si>
    <t>Pole Spinning above Blink</t>
  </si>
  <si>
    <t>3 Baskets</t>
  </si>
  <si>
    <t>Immediate Access</t>
  </si>
  <si>
    <t>2 Armored Chests on pyramid (cannon)</t>
  </si>
  <si>
    <t>Glide</t>
  </si>
  <si>
    <t>5 Armored Chests (supercharge)</t>
  </si>
  <si>
    <t>2 metal chests behind supercharge door</t>
  </si>
  <si>
    <t>Supercharge</t>
  </si>
  <si>
    <t>Armored Chest (firework in area after pyramid dark gem)</t>
  </si>
  <si>
    <t>SWAMP TOTAL</t>
  </si>
  <si>
    <t>Ball Gadget Path</t>
  </si>
  <si>
    <t>5 Dark Shards behind chargeable wall with dark gem</t>
  </si>
  <si>
    <t>Chests + Baskets behind chargeable walls</t>
  </si>
  <si>
    <t>Chargeable Walls</t>
  </si>
  <si>
    <t>3 Goats</t>
  </si>
  <si>
    <t>FE</t>
  </si>
  <si>
    <t>Crocoviles + Shepherd</t>
  </si>
  <si>
    <t>Immediate (on ground + Chests + Baskets)</t>
  </si>
  <si>
    <t>Plants + Huge Gnorcs (unarmored)</t>
  </si>
  <si>
    <t>Light Gem Door</t>
  </si>
  <si>
    <t>Light Gems</t>
  </si>
  <si>
    <t>Immediate (on ground + chests + baskets)</t>
  </si>
  <si>
    <t>Huge Gnorcs (unarmored)</t>
  </si>
  <si>
    <t>Huge Gnorcs (armored)</t>
  </si>
  <si>
    <t>Blue Monkeys</t>
  </si>
  <si>
    <t>Below whirlwind behind chargeable wall</t>
  </si>
  <si>
    <t>Plant + Huge Gnorcs (unarmored)</t>
  </si>
  <si>
    <t>Swim</t>
  </si>
  <si>
    <t>Underwater in Piranha Area</t>
  </si>
  <si>
    <t>Hunter Section</t>
  </si>
  <si>
    <t>Immediate (almost everything)</t>
  </si>
  <si>
    <t>Behind first explode-y arrow wall</t>
  </si>
  <si>
    <t>1 Explosive Arrow</t>
  </si>
  <si>
    <t>2 Metal chests in distance</t>
  </si>
  <si>
    <t>DRAGONFLY FALLS TOTAL</t>
  </si>
  <si>
    <t>DRAGON VILLAGE TOTAL</t>
  </si>
  <si>
    <t>Coastal Remains (requires access card)</t>
  </si>
  <si>
    <t>COASTAL REMAINS TOTAL</t>
  </si>
  <si>
    <t>On ground</t>
  </si>
  <si>
    <t>Metal Crates</t>
  </si>
  <si>
    <t>Immediate (upon Coastal Remains access)</t>
  </si>
  <si>
    <t>Headbash Crates</t>
  </si>
  <si>
    <t>Large blue crabs</t>
  </si>
  <si>
    <t>E or I + Charge or Charge + DJ</t>
  </si>
  <si>
    <t>Swimming in Southern Beach</t>
  </si>
  <si>
    <t>Underwater vases</t>
  </si>
  <si>
    <t>North Piranha Pool</t>
  </si>
  <si>
    <t>Pygmy Cannibal (small) in mini pathway</t>
  </si>
  <si>
    <t>Baskets + Crates in mini pathway</t>
  </si>
  <si>
    <t>Immediate near dragon egg</t>
  </si>
  <si>
    <t>Gnorc Archers + Middle Gnorcs (unarmored)</t>
  </si>
  <si>
    <t>Light Gem Door (Immediate)</t>
  </si>
  <si>
    <t>Light Gem Door (DJ)</t>
  </si>
  <si>
    <t>Light Gems + DJ</t>
  </si>
  <si>
    <t>Gnorc Archers up high</t>
  </si>
  <si>
    <t>Immediate (baskets + crates up high)</t>
  </si>
  <si>
    <t>Huge Gnorc (armored) up high</t>
  </si>
  <si>
    <t>Pole Spin Area</t>
  </si>
  <si>
    <t>Underwater vases + clams</t>
  </si>
  <si>
    <t>Huge Gnorc (unarmored) by Dark Gem</t>
  </si>
  <si>
    <t>4 Armored Chests by Dark Gem</t>
  </si>
  <si>
    <t>Glide or Pole Spin</t>
  </si>
  <si>
    <t>2 Baskets on the way to Egg</t>
  </si>
  <si>
    <t>DJ + Glide</t>
  </si>
  <si>
    <t>2 Armored Chests by Egg</t>
  </si>
  <si>
    <t>On ground post-cannon door</t>
  </si>
  <si>
    <t>Pygmy Cannibals from hut</t>
  </si>
  <si>
    <t>Huge Gnorc (armored)</t>
  </si>
  <si>
    <t>2 Baskets next to Huge Gnorc</t>
  </si>
  <si>
    <t>DJ + Glide + E</t>
  </si>
  <si>
    <t>Immediate after Electric Platform (on ground + baskets + chests + crabs)</t>
  </si>
  <si>
    <t>Huge Gnorc (armored) after Electric Platform</t>
  </si>
  <si>
    <t>Huge Gnorc (unarmored) on way to Otto's pool</t>
  </si>
  <si>
    <t>Middle Gnorcs (unarmored) + Critters + Pygmy Cannibals + orange crabs</t>
  </si>
  <si>
    <t>Left Path of Otto's Pool (DJ + Pole Spin)</t>
  </si>
  <si>
    <t>DJ + Pole Spin</t>
  </si>
  <si>
    <t>Cloudy Domain Entrance Area (DJ + Glide)</t>
  </si>
  <si>
    <t>Pinwheel Area on the way to Cloudy Domain (DJ)</t>
  </si>
  <si>
    <t>Immediate (on ground + Baskets + chests)</t>
  </si>
  <si>
    <t>Gnorc Archers + Pygmy Cannibals</t>
  </si>
  <si>
    <t>Underwater near Sunken Ruins Entrance</t>
  </si>
  <si>
    <t>DJ + Pole Spin + Swim</t>
  </si>
  <si>
    <t>2 Headbash chests in Otto's Pool (needs pool filled)</t>
  </si>
  <si>
    <t>CLOUDY DOMAIN TOTAL</t>
  </si>
  <si>
    <t>Cloudy Domain (requires DJ + Glide)</t>
  </si>
  <si>
    <t>Small Gnorcs (flying)</t>
  </si>
  <si>
    <t>Middle Gnorcs (flying) + Small Gnorcs (flying)</t>
  </si>
  <si>
    <t>On ground + baskets + chests + dark shards</t>
  </si>
  <si>
    <t>Middle Gnorcs (armored)</t>
  </si>
  <si>
    <t>FE + Charge or I + Charge or Charge</t>
  </si>
  <si>
    <t>Metal Chests behind Supercharge Door</t>
  </si>
  <si>
    <t>3 Armored Chests before Elder</t>
  </si>
  <si>
    <t>Balloon Gnorcs</t>
  </si>
  <si>
    <t>Post-Elder (Charge)</t>
  </si>
  <si>
    <t>Wing Shield</t>
  </si>
  <si>
    <t>Middle Gnorcs + Small Gnorcs (flying)</t>
  </si>
  <si>
    <t>Left of Start (Charge)</t>
  </si>
  <si>
    <t>on ground + Baskets + chests + dark shards</t>
  </si>
  <si>
    <t>Huge Gnorc (unarmored)</t>
  </si>
  <si>
    <t>Armored Chest (firework right before light gem)</t>
  </si>
  <si>
    <t>On Ground + baskets + chests</t>
  </si>
  <si>
    <t>Right of Start (Charge) leading to orbiting platforms and Sgt. Byrd</t>
  </si>
  <si>
    <t>Ball Gadget</t>
  </si>
  <si>
    <t>Ball Gadget (dragon egg)</t>
  </si>
  <si>
    <t>Ball Gadget (light gem)</t>
  </si>
  <si>
    <t>Armored Chest at start (firework post-ball gadget)</t>
  </si>
  <si>
    <t>On the Way to Ineptune (Dark Gems)</t>
  </si>
  <si>
    <t>Orange Crabs</t>
  </si>
  <si>
    <t>Sunken Ruins (requires DJ + Pole Spin)</t>
  </si>
  <si>
    <t>SUNKEN RUINS TOTAL</t>
  </si>
  <si>
    <t>On ground + chests + baskets + shards</t>
  </si>
  <si>
    <t>Mer-Gnorc</t>
  </si>
  <si>
    <t>Critters, Mer-Gnorc</t>
  </si>
  <si>
    <t>Immediate</t>
  </si>
  <si>
    <t>Underwater stuff (mer-gnorcs, vases, clams)</t>
  </si>
  <si>
    <t>Underwater Past Start (needs swim)</t>
  </si>
  <si>
    <t>Swim + Glide</t>
  </si>
  <si>
    <t>Armored Chests (firework up the whirlwinds)</t>
  </si>
  <si>
    <t>Immediates up the whirlwinds</t>
  </si>
  <si>
    <t>Immediate after swim and in whirlwind room</t>
  </si>
  <si>
    <t>Immediate underwater</t>
  </si>
  <si>
    <t>Blue Crabs</t>
  </si>
  <si>
    <t>Chest + Basket near light gem after invince section</t>
  </si>
  <si>
    <t>Swim + Invincibility</t>
  </si>
  <si>
    <t>Upper Section of Wall Kick Invince Room</t>
  </si>
  <si>
    <t>Swim + Wall Kick + Invincibility</t>
  </si>
  <si>
    <t>Mer-Gnorc, Critters</t>
  </si>
  <si>
    <t>3 Armored Chests further below (firework up high)</t>
  </si>
  <si>
    <t>Mer-gnorcs</t>
  </si>
  <si>
    <t>Swim + E</t>
  </si>
  <si>
    <t>After First Underwater Section (needs swim)</t>
  </si>
  <si>
    <t>Second Underwater Section (needs swim)</t>
  </si>
  <si>
    <t>After Second Underwater Section (needs swim)</t>
  </si>
  <si>
    <t>Past Electric Platform (needs swim + E)</t>
  </si>
  <si>
    <t>Dark Shards above Invince</t>
  </si>
  <si>
    <t>Swim + E + Glide</t>
  </si>
  <si>
    <t>Swim + E + Invince</t>
  </si>
  <si>
    <t>Past Invincibility Swim (needs swim + E + invince)</t>
  </si>
  <si>
    <t>Immediate via gliding next to firework</t>
  </si>
  <si>
    <t>Swim + E + Invince + Glide</t>
  </si>
  <si>
    <t>3 Armored Chests below (firework after dark gem)</t>
  </si>
  <si>
    <t>Rest of Dark Gem Statue room and beyond (needs swim + E + invince + glide)</t>
  </si>
  <si>
    <t>LOST CITIES TOTAL</t>
  </si>
  <si>
    <t>GAME TOTAL</t>
  </si>
  <si>
    <t>DRAGON KINGDOM TOTAL</t>
  </si>
  <si>
    <t>Frostbite Village (requires access card, later on requires return via Gloomy Glacier)</t>
  </si>
  <si>
    <t>FROSTBITE VILLAGE TOTAL</t>
  </si>
  <si>
    <t>Immediate (near light gem after floating platform)</t>
  </si>
  <si>
    <t>EW + DJ</t>
  </si>
  <si>
    <t>Beyond Headbash Switch at Start (needs DJ)</t>
  </si>
  <si>
    <t>Immediate (on ground + Baskets + crates)</t>
  </si>
  <si>
    <t>Eskimoles (small)</t>
  </si>
  <si>
    <t>FE or Charge</t>
  </si>
  <si>
    <t>Middle Gnorcs (unarmored)</t>
  </si>
  <si>
    <t>Eskimole under snowman</t>
  </si>
  <si>
    <t>Beyond Penguin Dude (needs a few things, at minimum E)</t>
  </si>
  <si>
    <t>Eskimoles on Ice</t>
  </si>
  <si>
    <t>Baskets on Ice</t>
  </si>
  <si>
    <t>FEWI or Charge</t>
  </si>
  <si>
    <t>DJ + Wall Kick</t>
  </si>
  <si>
    <t>Middle Gnorc (unarmored)</t>
  </si>
  <si>
    <t>gems behind chargeable wall</t>
  </si>
  <si>
    <t>DJ + Wall Kick + Charge</t>
  </si>
  <si>
    <t>DJ + Wall Kick + Glide</t>
  </si>
  <si>
    <t>immediate beyond big cannon ball thing</t>
  </si>
  <si>
    <t>Eskimole on the small platform thing</t>
  </si>
  <si>
    <t>Gloomy Glacier (requires DJ)</t>
  </si>
  <si>
    <t>All of Level lol</t>
  </si>
  <si>
    <t>Armored Chest a bit into cave section</t>
  </si>
  <si>
    <t>1 Explode-y Arrow</t>
  </si>
  <si>
    <t>Armored Chest in distance by bullseye you hit to open gate</t>
  </si>
  <si>
    <t>4 Frozen Gems</t>
  </si>
  <si>
    <t>1 Explode-y Arrow each (4 total)</t>
  </si>
  <si>
    <t>8 Steel Traps</t>
  </si>
  <si>
    <t>1 Explode-y Arrow each (8 total)</t>
  </si>
  <si>
    <t>Everything lol</t>
  </si>
  <si>
    <t>GLOOMY GLACIER TOTAL</t>
  </si>
  <si>
    <t>ICE CITADEL TOTAL</t>
  </si>
  <si>
    <t>Ice Citadel (requires DJ)</t>
  </si>
  <si>
    <t>Steel Traps</t>
  </si>
  <si>
    <t>E or I + Charge</t>
  </si>
  <si>
    <t>Middle gnorcs (armored)</t>
  </si>
  <si>
    <t>3 Baskets you can't DJ to break</t>
  </si>
  <si>
    <t>Firework chest</t>
  </si>
  <si>
    <t>Middle gnorcs (unarmored) + Gnorc Archers</t>
  </si>
  <si>
    <t>Firework chest + 3 Armored chests (firework by water wheel)</t>
  </si>
  <si>
    <t>Beyond Water Wheel (needs W)</t>
  </si>
  <si>
    <t>W</t>
  </si>
  <si>
    <t>Yeti + Middle gnorcs (unarmored)</t>
  </si>
  <si>
    <t>Headbash rock thing behind chargeable wall</t>
  </si>
  <si>
    <t>W + Charge</t>
  </si>
  <si>
    <t>Past Elder (needs W + Wall Kick)</t>
  </si>
  <si>
    <t>W + Wall Kick</t>
  </si>
  <si>
    <t>Gnorc Archer</t>
  </si>
  <si>
    <t>Ice Monster</t>
  </si>
  <si>
    <t>Mini Path back to Queen (needs W + Wall Kick + E)</t>
  </si>
  <si>
    <t>W + Wall Kick + E</t>
  </si>
  <si>
    <t>10 Armored chests (cannon after queen)</t>
  </si>
  <si>
    <t>Middle Gnorc (unarmored) + Yeti</t>
  </si>
  <si>
    <t>Armored Chests (supercharge)</t>
  </si>
  <si>
    <t>W + Wall Kick + Supercharge</t>
  </si>
  <si>
    <t>Immediates past supercharge doors (tunnels + door next to drawbridge)</t>
  </si>
  <si>
    <t>Supercharging back to Frostbite Village (needs W + Wall Kick + Supercharge)</t>
  </si>
  <si>
    <t>Immediates</t>
  </si>
  <si>
    <t>Immediates (9 armored chests)</t>
  </si>
  <si>
    <t>Eskimoles</t>
  </si>
  <si>
    <t>Huge gnorc (unarmored)</t>
  </si>
  <si>
    <t>Middle gnorc (unarmored)</t>
  </si>
  <si>
    <t>Huge gnorc (armored)</t>
  </si>
  <si>
    <t>Eskimos in ice huts</t>
  </si>
  <si>
    <t>2 Armored Chests (cannon near light gem door)</t>
  </si>
  <si>
    <t>Wall Kicking before Mammoth Area (needs DJ + Wall Kick)</t>
  </si>
  <si>
    <t>DJ + W + Wall Kick + Supercharge</t>
  </si>
  <si>
    <t>Light Gem Door (needs DJ + W + Wall Kick + Supercharge + Light Gems)</t>
  </si>
  <si>
    <t>ICY WILDERNESS TOTAL</t>
  </si>
  <si>
    <t>Stormy Beach (requires access card)</t>
  </si>
  <si>
    <t>Immediate (upon Stormy Beach access)</t>
  </si>
  <si>
    <t>STORMY BEACH TOTAL</t>
  </si>
  <si>
    <t>2 Armored Chests (firework on the ship)</t>
  </si>
  <si>
    <t>Headbash Chest</t>
  </si>
  <si>
    <t>DJ in Hub (needs DJ)</t>
  </si>
  <si>
    <t>3 armored chests near shop (firework on ground level)</t>
  </si>
  <si>
    <t>Underwater vases by realm portal</t>
  </si>
  <si>
    <t>Gnorc archers</t>
  </si>
  <si>
    <t>Middle gnorcs (unarmored)</t>
  </si>
  <si>
    <t>Moving Platforms in Cave at End (needs DJ + Wall Kick + Glide)</t>
  </si>
  <si>
    <t>Middle gnorc (armored)</t>
  </si>
  <si>
    <t>Gnorc archers by chest</t>
  </si>
  <si>
    <t>2 armored chests (firework inside cave)</t>
  </si>
  <si>
    <t>Molten Mount (requires DJ + Glide)</t>
  </si>
  <si>
    <t>MOLTEN MOUNT TOTAL</t>
  </si>
  <si>
    <t>Steel traps</t>
  </si>
  <si>
    <t>Armored chest near start (firework)</t>
  </si>
  <si>
    <t>Armored chests near start (supercharge)</t>
  </si>
  <si>
    <t>WI</t>
  </si>
  <si>
    <t>Firework Chest</t>
  </si>
  <si>
    <t>Gliding Past Zoe (see notes)</t>
  </si>
  <si>
    <t>2 Phoenixes</t>
  </si>
  <si>
    <t>Immediates while jumping up</t>
  </si>
  <si>
    <t>Rock Monsters</t>
  </si>
  <si>
    <t>Huge gnorcs (armored)</t>
  </si>
  <si>
    <t>Huge gnorcs (unarmored)</t>
  </si>
  <si>
    <t>middle gnorcs (unarmored)</t>
  </si>
  <si>
    <t>Past Fire Imps (requires WI)</t>
  </si>
  <si>
    <t>Pole Spinning and Beyond (requires WI + Pole Spin)</t>
  </si>
  <si>
    <t>headbash rock thing under huge gnorc (unarmored)</t>
  </si>
  <si>
    <t>WI + Pole Spin</t>
  </si>
  <si>
    <t>Glitchy headbash thing heading north to dark gem in upper area</t>
  </si>
  <si>
    <t>WI + Pole Spin + Charge</t>
  </si>
  <si>
    <t>Immediates behind chargeable walls near end</t>
  </si>
  <si>
    <t>Firework chest (immediate)</t>
  </si>
  <si>
    <t>Firework chest (behind chargeable thing)</t>
  </si>
  <si>
    <t>Rock monster</t>
  </si>
  <si>
    <t>Armored chest (firework)</t>
  </si>
  <si>
    <t>Metal chests behind chargeable thing</t>
  </si>
  <si>
    <t>Immediates behind chargeable thing by moneybags</t>
  </si>
  <si>
    <t>Huge gnorc (armored) behind chargeable thing by moneybags</t>
  </si>
  <si>
    <t>Huge gnorcs (armored) by ball gadget</t>
  </si>
  <si>
    <t>Top</t>
  </si>
  <si>
    <t>MAGMA FALLS TOTAL</t>
  </si>
  <si>
    <t>Bottom (requires Ball Gadget)</t>
  </si>
  <si>
    <t>Magma Falls (requires DJ + Glide + WI + Pole Spin + Wall Kick)</t>
  </si>
  <si>
    <t>Metal chests behind chargeable things</t>
  </si>
  <si>
    <t>Ball Gadget + Charge</t>
  </si>
  <si>
    <t>Immediates behind Chargeable wall near end</t>
  </si>
  <si>
    <t>Dark Mine (requires DJ + Glide + WI + Pole Spin + Wall Kick + Ball Gadget)</t>
  </si>
  <si>
    <t>DARK MINE TOTAL</t>
  </si>
  <si>
    <t>Start</t>
  </si>
  <si>
    <t>Critters</t>
  </si>
  <si>
    <t>E or I + Charge or Charge</t>
  </si>
  <si>
    <t>Immediates behind chargeable wall things</t>
  </si>
  <si>
    <t>Light Gem Door (needs light gems)</t>
  </si>
  <si>
    <t>Huge robo-gnorcs</t>
  </si>
  <si>
    <t>Invince swimming (chests)</t>
  </si>
  <si>
    <t>Invince</t>
  </si>
  <si>
    <t>Haywire Robots (Drill)</t>
  </si>
  <si>
    <t>Haywire Robots (Spike)</t>
  </si>
  <si>
    <t>Haywire Robots (Roller)</t>
  </si>
  <si>
    <t>Past Chargeable Rocks (needs charge)</t>
  </si>
  <si>
    <t>3 armored chests (firework)</t>
  </si>
  <si>
    <t>Immediates up wall kick pistons</t>
  </si>
  <si>
    <t>Charge + Wall Kick</t>
  </si>
  <si>
    <t>Charge + E</t>
  </si>
  <si>
    <t>Charge + E + Ice</t>
  </si>
  <si>
    <t>Ice Pole Spinning and Beyond (needs charge + E + Ice)</t>
  </si>
  <si>
    <t>Room with Caged Dark Gem (needs Charge + E)</t>
  </si>
  <si>
    <t>3 armored chests by start (firework after ice and pole spin)</t>
  </si>
  <si>
    <t>Hallway to Lab</t>
  </si>
  <si>
    <t>Red's Lab (needs DJ + Glide + WI + Pole Spin + Wall Kick + Ball Gadget + charge + E + Ice)</t>
  </si>
  <si>
    <t>RED'S LAB TOTAL</t>
  </si>
  <si>
    <t>Lab -&gt; Center Room</t>
  </si>
  <si>
    <t>Southeast Area</t>
  </si>
  <si>
    <t>Immediates above furnace</t>
  </si>
  <si>
    <t>Northwest Area</t>
  </si>
  <si>
    <t>Northeast Area</t>
  </si>
  <si>
    <t>Immediates via invince</t>
  </si>
  <si>
    <t>Invincibility</t>
  </si>
  <si>
    <t>Southwest Area (heading to Mecha Red)</t>
  </si>
  <si>
    <t>Blink</t>
  </si>
  <si>
    <t>Blink 1</t>
  </si>
  <si>
    <t>Blink 2</t>
  </si>
  <si>
    <t>Sparx</t>
  </si>
  <si>
    <t>Sparx 1</t>
  </si>
  <si>
    <t>Sparx 2</t>
  </si>
  <si>
    <t>Hunter Area Post-Glide</t>
  </si>
  <si>
    <t>Crocoville Swamp (needs DJ)</t>
  </si>
  <si>
    <t>VOLCANIC ISLE TOTAL</t>
  </si>
  <si>
    <t>Dark Gems</t>
  </si>
  <si>
    <t>Pole Spinning beyond Final Dark Gem (furthest east room of map)</t>
  </si>
  <si>
    <t>DJ + W + Wall Kick + Supercharge + Pole Spin</t>
  </si>
  <si>
    <t>Light Gem Door part 2 (needs DJ + W + Wall Kick + Supercharge + Light Gems + Pole Spin)</t>
  </si>
  <si>
    <t>Light Gem Door part 3 (needs DJ + W + Wall Kick + Supercharge + Light Gems + Pole Spin + Glide)</t>
  </si>
  <si>
    <t>Light Gem Door icy swimming (needs DJ + W + Wall Kick + Supercharge + Light Gems + Pole Spin + Glide + Swim)</t>
  </si>
  <si>
    <t>Dragon Village (needs access card)</t>
  </si>
  <si>
    <t>Dragonfly Falls (needs DJ + Glide + Ball Gadget)</t>
  </si>
  <si>
    <t>Baskets behind chargeable wall by Elder</t>
  </si>
  <si>
    <t>Armored Chest before crocovile bridge (firework)</t>
  </si>
  <si>
    <t>Immediate post-crocovile bridge (on ground + baskets)</t>
  </si>
  <si>
    <t>Immediates post-double jump ledge</t>
  </si>
  <si>
    <t>On Ground hunter pre-glide</t>
  </si>
  <si>
    <t>Chests/Baskets hunter pre-glide</t>
  </si>
  <si>
    <t>Huge gnorc (unarmored) in cave hunter pre-glide</t>
  </si>
  <si>
    <t>Immediate (on ground + chests/baskets) ball gadget area</t>
  </si>
  <si>
    <t>Armored Chest (firework) ball gadget area</t>
  </si>
  <si>
    <t>2 Huge Gnorc (armored) ball gadget area</t>
  </si>
  <si>
    <t>armored chest (firework) in byrd area</t>
  </si>
  <si>
    <t>SUBTOTAL</t>
  </si>
  <si>
    <t>Huge gnorc (armored) above double jump ledge</t>
  </si>
  <si>
    <t>DJ + Charge</t>
  </si>
  <si>
    <t>F + Glide</t>
  </si>
  <si>
    <t>Crocovile Swamp (needs DJ)</t>
  </si>
  <si>
    <t>Crocovile in forgotten temple</t>
  </si>
  <si>
    <t>Baskets + Chests behind gate in temple</t>
  </si>
  <si>
    <t>Crocoviles in E gate of temple</t>
  </si>
  <si>
    <t>Chests + Baskets in E gate of temple</t>
  </si>
  <si>
    <t>Baskets + Chests in tree</t>
  </si>
  <si>
    <t>Crocovile in tree</t>
  </si>
  <si>
    <t>Armored Chest (firework at top of tree) in tree</t>
  </si>
  <si>
    <t>Armored Chest (firework at middle of tree) in tree</t>
  </si>
  <si>
    <t>Crocoviles in cave away from blink</t>
  </si>
  <si>
    <t>Metal Chest in cave away from  blink</t>
  </si>
  <si>
    <t>3 Baskets above blink</t>
  </si>
  <si>
    <t>missed 5 on test. Try again?</t>
  </si>
  <si>
    <t>Hunter Immediate (almost everything)</t>
  </si>
  <si>
    <t>Hunter Behind first explode-y arrow wall</t>
  </si>
  <si>
    <t>Hunter 2 Metal chests in distance</t>
  </si>
  <si>
    <t>Underwater vases in southern beach</t>
  </si>
  <si>
    <t>Pygmy Cannibal (small) in mini pathway across piranha pool</t>
  </si>
  <si>
    <t>Baskets + Crates in mini pathway across piranha pool</t>
  </si>
  <si>
    <t>Immediate near dragon egg across piranha pool</t>
  </si>
  <si>
    <t>Underwater vases + clams in pole spin area</t>
  </si>
  <si>
    <t>pole spin area Huge Gnorc (unarmored) by Dark Gem</t>
  </si>
  <si>
    <t>pole spin area 4 Armored Chests by Dark Gem</t>
  </si>
  <si>
    <t>pole spin area 2 Armored Chests by Egg</t>
  </si>
  <si>
    <t>pole spin area 2 Baskets on the way to Egg</t>
  </si>
  <si>
    <t>pole spin area On ground post-cannon door</t>
  </si>
  <si>
    <t>DJ + Glide + Pole Spin</t>
  </si>
  <si>
    <t>after first swim immediate</t>
  </si>
  <si>
    <t>after first swim Mer-Gnorc</t>
  </si>
  <si>
    <t>after first swim Immediates up the whirlwinds</t>
  </si>
  <si>
    <t>after first swim Armored Chests (firework up the whirlwinds)</t>
  </si>
  <si>
    <t>after second swim Immediate</t>
  </si>
  <si>
    <t>after second swim Blue Crabs</t>
  </si>
  <si>
    <t>after second swim Mer-Gnorc, Critters</t>
  </si>
  <si>
    <t>after second swim Chest + Basket near light gem after invince section</t>
  </si>
  <si>
    <t>invince wall kick 3 Armored Chests further below (firework up high)</t>
  </si>
  <si>
    <t>invince wall kick Mer-gnorcs</t>
  </si>
  <si>
    <t>first swim Underwater stuff (mer-gnorcs, vases, clams)</t>
  </si>
  <si>
    <t>first swim Immediate underwater</t>
  </si>
  <si>
    <t>second swim Immediate underwater</t>
  </si>
  <si>
    <t>second swim Underwater stuff (mer-gnorcs, vases, clams)</t>
  </si>
  <si>
    <t>CSEntry</t>
  </si>
  <si>
    <t>CSPoleSpin</t>
  </si>
  <si>
    <t>DVEntry</t>
  </si>
  <si>
    <t>DVDoubleJump</t>
  </si>
  <si>
    <t>DVGlide</t>
  </si>
  <si>
    <t>DVCharge</t>
  </si>
  <si>
    <t>DFEntry</t>
  </si>
  <si>
    <t>DFLightGemDoor</t>
  </si>
  <si>
    <t>CREntry</t>
  </si>
  <si>
    <t>CRDoubleJump</t>
  </si>
  <si>
    <t>CRLightGemDoor</t>
  </si>
  <si>
    <t>CRCloudyEntrance</t>
  </si>
  <si>
    <t>CRWateryTomb</t>
  </si>
  <si>
    <t>SREntry</t>
  </si>
  <si>
    <t>SRSwim</t>
  </si>
  <si>
    <t>SRElectric</t>
  </si>
  <si>
    <t>SRInvincibility</t>
  </si>
  <si>
    <t>SRGlide</t>
  </si>
  <si>
    <t>pinwheel area immediates</t>
  </si>
  <si>
    <t>pinwheel area pygmy hut</t>
  </si>
  <si>
    <t>CRSunkenEntrance</t>
  </si>
  <si>
    <t>CDWingShield</t>
  </si>
  <si>
    <t>CDEntry</t>
  </si>
  <si>
    <t>CDCharge</t>
  </si>
  <si>
    <t>CDBallGadget</t>
  </si>
  <si>
    <t>FVEntry</t>
  </si>
  <si>
    <t>FVEletric</t>
  </si>
  <si>
    <t>FVDoubleJump</t>
  </si>
  <si>
    <t>FVWallKickBeforeGlacier</t>
  </si>
  <si>
    <t>GGEntry</t>
  </si>
  <si>
    <t>ICEntry</t>
  </si>
  <si>
    <t>ICWater</t>
  </si>
  <si>
    <t>ICWallKick</t>
  </si>
  <si>
    <t>ICReturnToFV</t>
  </si>
  <si>
    <t>missing 5 on test</t>
  </si>
  <si>
    <t>W + Wall Kick + E + Pole Spin</t>
  </si>
  <si>
    <t>ICBehindQueen</t>
  </si>
  <si>
    <t>FVEntry2</t>
  </si>
  <si>
    <t>FVEastPoles</t>
  </si>
  <si>
    <t>FVLightGemDoorPoles</t>
  </si>
  <si>
    <t>FVLightGemDoorEntry</t>
  </si>
  <si>
    <t>FVLightGemDoorGlide</t>
  </si>
  <si>
    <t>Immediates under icy water</t>
  </si>
  <si>
    <t>Light Gems + Invince</t>
  </si>
  <si>
    <t>SBEntry</t>
  </si>
  <si>
    <t>SBDoubleJump</t>
  </si>
  <si>
    <t>SBUpperCave</t>
  </si>
  <si>
    <t>MMEntry</t>
  </si>
  <si>
    <t>initial gliding 2 Phoenixes</t>
  </si>
  <si>
    <t>initial gliding Immediates while jumping up</t>
  </si>
  <si>
    <t>initial gliding Firework Chest</t>
  </si>
  <si>
    <t>MMFireEnemies</t>
  </si>
  <si>
    <t>MMPoleSpin</t>
  </si>
  <si>
    <t>MFBallGadget</t>
  </si>
  <si>
    <t>DMEntry</t>
  </si>
  <si>
    <t>DMLightGemDoor</t>
  </si>
  <si>
    <t>DMCharge</t>
  </si>
  <si>
    <t>DMElectric</t>
  </si>
  <si>
    <t>DMIce</t>
  </si>
  <si>
    <t>RLEntry</t>
  </si>
  <si>
    <t>MFtEntry</t>
  </si>
  <si>
    <t>MFbEntry</t>
  </si>
  <si>
    <t>RLSouthEast</t>
  </si>
  <si>
    <t>RLNorthWest</t>
  </si>
  <si>
    <t>RLNorthEast</t>
  </si>
  <si>
    <t>RLSouthWest</t>
  </si>
  <si>
    <t>Byrd 1</t>
  </si>
  <si>
    <t>Byrd 2</t>
  </si>
  <si>
    <t>Charge + Wing Shield</t>
  </si>
  <si>
    <t>Charge + Supercharge</t>
  </si>
  <si>
    <t>Charge + Wing Shield + Ball Gadget</t>
  </si>
  <si>
    <t>Crabs in Otto's Pool</t>
  </si>
  <si>
    <t>Metal Chests in Otto's Pool</t>
  </si>
  <si>
    <t>Armored chests</t>
  </si>
  <si>
    <t>Armored enemies</t>
  </si>
  <si>
    <t>Blink + Breakables</t>
  </si>
  <si>
    <t>charge gates/walls</t>
  </si>
  <si>
    <t>Supercharge stuff</t>
  </si>
  <si>
    <t>Chargeable wall immediates</t>
  </si>
  <si>
    <t>Spyro + Hunter immediates + ball gadget + sparx</t>
  </si>
  <si>
    <t>Underwater stuff</t>
  </si>
  <si>
    <t>Pygmies</t>
  </si>
  <si>
    <t>Immediates + in otto's pool + Blink</t>
  </si>
  <si>
    <t>Immediates + Byrd</t>
  </si>
  <si>
    <t>Mer-gnorc, critters</t>
  </si>
  <si>
    <t>Underwater breakable stuff</t>
  </si>
  <si>
    <t>Immediates + Blink</t>
  </si>
  <si>
    <t>Eskimoles + middle gnorcs (unarmored)</t>
  </si>
  <si>
    <t>Immediates + armored chests</t>
  </si>
  <si>
    <t>Middle gnorcs (armored) + headbash behind chargeable wall</t>
  </si>
  <si>
    <t>Gnorc archers + middle gnorcs (unarmored)</t>
  </si>
  <si>
    <t>behind chargeable walls + middle armored gnorcs</t>
  </si>
  <si>
    <t>Firework chest + armored chest</t>
  </si>
  <si>
    <t>Chargeable things</t>
  </si>
  <si>
    <t>Chargeable wall things</t>
  </si>
  <si>
    <t>Immediates + Sparx</t>
  </si>
  <si>
    <t>E or Charge</t>
  </si>
  <si>
    <t>Spike robots + steel traps</t>
  </si>
  <si>
    <t>Huge robo-gnorcs + steel traps</t>
  </si>
  <si>
    <t>FVWallKick</t>
  </si>
  <si>
    <t>MMWaterIce</t>
  </si>
  <si>
    <t>DJ + W + Wall Kick + Charge + Supercharge</t>
  </si>
  <si>
    <t>After Returning from Ice Citadel (needs DJ + W + Wall Kick + Charge + Supercharge)</t>
  </si>
  <si>
    <t>FE or I</t>
  </si>
  <si>
    <t>DJ + W + Wall Kick + Charge + Supercharge + Pole Spin</t>
  </si>
  <si>
    <t>DJ + W + Wall Kick + Charge + Supercharge + Light Gems</t>
  </si>
  <si>
    <t>DJ + W + Wall Kick + Charge + Supercharge + Light Gems + Pole Spin</t>
  </si>
  <si>
    <t>DJ + W + Wall Kick + Charge + Supercharge + Light Gems + Glide</t>
  </si>
  <si>
    <t>DJ + W + Wall Kick + Charge + Supercharge + Light Gems + Glide + Swim</t>
  </si>
  <si>
    <t>DJ + W + Wall Kick + Charge + Supercharge + Light Gems + Pole Spin + Glide</t>
  </si>
  <si>
    <t>DJ + W + Wall Kick + Charge + Supercharge + Light Gems + Pole Spin + Glide + Swim + Invince</t>
  </si>
  <si>
    <t>Huge gnorcs</t>
  </si>
  <si>
    <t>FVLGDoorEntry</t>
  </si>
  <si>
    <t>FVLGDoorGlide</t>
  </si>
  <si>
    <t>Immediates past pole spin</t>
  </si>
  <si>
    <t>CRGlide</t>
  </si>
  <si>
    <t>piranha pool + windmill area immediates</t>
  </si>
  <si>
    <t>pole spin area stuff by egg</t>
  </si>
  <si>
    <t>F + Charge or I + Charge</t>
  </si>
  <si>
    <t>Immediate after Electric Platform near cloudy</t>
  </si>
  <si>
    <t>Huge Gnorc (armored) after Electric Platform near cloudy</t>
  </si>
  <si>
    <t>sunken ruins has 14,645</t>
  </si>
  <si>
    <t>SRWallKick</t>
  </si>
  <si>
    <t>Swim + E + Invince + Charge</t>
  </si>
  <si>
    <t>Swim + E + Invince + Charge + Glide</t>
  </si>
  <si>
    <t>Immediates (including gliding above swim rooms)</t>
  </si>
  <si>
    <t>W + Wall Kick + E + Pole Spin + Glide</t>
  </si>
  <si>
    <t>Light Gems + Invince + Swim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</si>
</sst>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20"/>
      <color theme="1"/>
      <name val="Calibri"/>
      <family val="2"/>
      <scheme val="minor"/>
    </font>
    <font>
      <b/>
      <sz val="20"/>
      <color theme="1"/>
      <name val="Calibri"/>
      <family val="2"/>
      <scheme val="minor"/>
    </font>
    <font>
      <sz val="9"/>
      <color indexed="81"/>
      <name val="Tahoma"/>
      <charset val="1"/>
    </font>
    <font>
      <b/>
      <sz val="9"/>
      <color indexed="81"/>
      <name val="Tahoma"/>
      <charset val="1"/>
    </font>
    <font>
      <b/>
      <u/>
      <sz val="20"/>
      <color theme="1"/>
      <name val="Calibri"/>
      <family val="2"/>
      <scheme val="minor"/>
    </font>
    <font>
      <sz val="9"/>
      <color indexed="81"/>
      <name val="Tahoma"/>
      <family val="2"/>
    </font>
    <font>
      <b/>
      <sz val="9"/>
      <color indexed="81"/>
      <name val="Tahoma"/>
      <family val="2"/>
    </font>
  </fonts>
  <fills count="11">
    <fill>
      <patternFill patternType="none"/>
    </fill>
    <fill>
      <patternFill patternType="gray125"/>
    </fill>
    <fill>
      <patternFill patternType="solid">
        <fgColor theme="9"/>
        <bgColor indexed="64"/>
      </patternFill>
    </fill>
    <fill>
      <patternFill patternType="solid">
        <fgColor rgb="FFFFFF00"/>
        <bgColor indexed="64"/>
      </patternFill>
    </fill>
    <fill>
      <patternFill patternType="solid">
        <fgColor theme="8"/>
        <bgColor indexed="64"/>
      </patternFill>
    </fill>
    <fill>
      <patternFill patternType="solid">
        <fgColor rgb="FFFF00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FF7171"/>
        <bgColor indexed="64"/>
      </patternFill>
    </fill>
    <fill>
      <patternFill patternType="solid">
        <fgColor theme="7"/>
        <bgColor indexed="64"/>
      </patternFill>
    </fill>
    <fill>
      <patternFill patternType="solid">
        <fgColor theme="7" tint="0.39997558519241921"/>
        <bgColor indexed="64"/>
      </patternFill>
    </fill>
  </fills>
  <borders count="12">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160">
    <xf numFmtId="0" fontId="0" fillId="0" borderId="0" xfId="0"/>
    <xf numFmtId="0" fontId="1" fillId="0" borderId="0" xfId="0" applyFont="1"/>
    <xf numFmtId="0" fontId="2" fillId="0" borderId="0" xfId="0" applyFont="1"/>
    <xf numFmtId="0" fontId="1" fillId="0" borderId="0" xfId="0" applyFont="1" applyAlignment="1">
      <alignment horizontal="center"/>
    </xf>
    <xf numFmtId="0" fontId="1" fillId="0" borderId="0" xfId="0" applyFont="1" applyAlignment="1">
      <alignment horizontal="left"/>
    </xf>
    <xf numFmtId="0" fontId="1" fillId="0" borderId="0" xfId="0" applyFont="1" applyAlignment="1">
      <alignment horizontal="right"/>
    </xf>
    <xf numFmtId="0" fontId="5" fillId="0" borderId="0" xfId="0" applyFont="1"/>
    <xf numFmtId="0" fontId="5" fillId="6" borderId="1" xfId="0" applyFont="1" applyFill="1" applyBorder="1" applyAlignment="1">
      <alignment horizontal="center"/>
    </xf>
    <xf numFmtId="0" fontId="5" fillId="6" borderId="3" xfId="0" applyFont="1" applyFill="1" applyBorder="1" applyAlignment="1">
      <alignment horizontal="center"/>
    </xf>
    <xf numFmtId="0" fontId="5" fillId="6" borderId="2" xfId="0" applyFont="1" applyFill="1" applyBorder="1" applyAlignment="1">
      <alignment horizontal="center"/>
    </xf>
    <xf numFmtId="0" fontId="1" fillId="6" borderId="10" xfId="0" applyFont="1" applyFill="1" applyBorder="1"/>
    <xf numFmtId="0" fontId="1" fillId="6" borderId="0" xfId="0" applyFont="1" applyFill="1"/>
    <xf numFmtId="0" fontId="1" fillId="6" borderId="11" xfId="0" applyFont="1" applyFill="1" applyBorder="1"/>
    <xf numFmtId="0" fontId="1" fillId="6" borderId="7" xfId="0" applyFont="1" applyFill="1" applyBorder="1"/>
    <xf numFmtId="0" fontId="1" fillId="6" borderId="8" xfId="0" applyFont="1" applyFill="1" applyBorder="1"/>
    <xf numFmtId="0" fontId="1" fillId="6" borderId="9" xfId="0" applyFont="1" applyFill="1" applyBorder="1"/>
    <xf numFmtId="0" fontId="1" fillId="7" borderId="10" xfId="0" applyFont="1" applyFill="1" applyBorder="1"/>
    <xf numFmtId="0" fontId="1" fillId="7" borderId="0" xfId="0" applyFont="1" applyFill="1"/>
    <xf numFmtId="0" fontId="1" fillId="7" borderId="11" xfId="0" applyFont="1" applyFill="1" applyBorder="1"/>
    <xf numFmtId="0" fontId="1" fillId="7" borderId="7" xfId="0" applyFont="1" applyFill="1" applyBorder="1"/>
    <xf numFmtId="0" fontId="1" fillId="7" borderId="8" xfId="0" applyFont="1" applyFill="1" applyBorder="1"/>
    <xf numFmtId="0" fontId="1" fillId="7" borderId="9" xfId="0" applyFont="1" applyFill="1" applyBorder="1"/>
    <xf numFmtId="0" fontId="1" fillId="8" borderId="10" xfId="0" applyFont="1" applyFill="1" applyBorder="1"/>
    <xf numFmtId="0" fontId="1" fillId="8" borderId="0" xfId="0" applyFont="1" applyFill="1"/>
    <xf numFmtId="0" fontId="1" fillId="8" borderId="11" xfId="0" applyFont="1" applyFill="1" applyBorder="1"/>
    <xf numFmtId="0" fontId="1" fillId="8" borderId="7" xfId="0" applyFont="1" applyFill="1" applyBorder="1"/>
    <xf numFmtId="0" fontId="1" fillId="8" borderId="8" xfId="0" applyFont="1" applyFill="1" applyBorder="1"/>
    <xf numFmtId="0" fontId="1" fillId="8" borderId="9" xfId="0" applyFont="1" applyFill="1" applyBorder="1"/>
    <xf numFmtId="0" fontId="5" fillId="7" borderId="3" xfId="0" applyFont="1" applyFill="1" applyBorder="1" applyAlignment="1">
      <alignment horizontal="center"/>
    </xf>
    <xf numFmtId="0" fontId="5" fillId="7" borderId="2" xfId="0" applyFont="1" applyFill="1" applyBorder="1" applyAlignment="1">
      <alignment horizontal="center"/>
    </xf>
    <xf numFmtId="0" fontId="1" fillId="7" borderId="10" xfId="0" applyFont="1" applyFill="1" applyBorder="1" applyAlignment="1">
      <alignment horizontal="left"/>
    </xf>
    <xf numFmtId="0" fontId="1" fillId="7" borderId="0" xfId="0" applyFont="1" applyFill="1" applyAlignment="1">
      <alignment horizontal="right"/>
    </xf>
    <xf numFmtId="0" fontId="1" fillId="7" borderId="0" xfId="0" applyFont="1" applyFill="1" applyAlignment="1">
      <alignment horizontal="left"/>
    </xf>
    <xf numFmtId="0" fontId="5" fillId="8" borderId="1" xfId="0" applyFont="1" applyFill="1" applyBorder="1" applyAlignment="1">
      <alignment horizontal="center"/>
    </xf>
    <xf numFmtId="0" fontId="5" fillId="8" borderId="3" xfId="0" applyFont="1" applyFill="1" applyBorder="1" applyAlignment="1">
      <alignment horizontal="center"/>
    </xf>
    <xf numFmtId="0" fontId="5" fillId="8" borderId="2" xfId="0" applyFont="1" applyFill="1" applyBorder="1" applyAlignment="1">
      <alignment horizontal="center"/>
    </xf>
    <xf numFmtId="0" fontId="2" fillId="6" borderId="1" xfId="0" applyFont="1" applyFill="1" applyBorder="1" applyAlignment="1">
      <alignment horizontal="center"/>
    </xf>
    <xf numFmtId="0" fontId="2" fillId="6" borderId="3" xfId="0" applyFont="1" applyFill="1" applyBorder="1" applyAlignment="1">
      <alignment horizontal="center"/>
    </xf>
    <xf numFmtId="0" fontId="2" fillId="6" borderId="2" xfId="0" applyFont="1" applyFill="1" applyBorder="1" applyAlignment="1">
      <alignment horizontal="center"/>
    </xf>
    <xf numFmtId="0" fontId="2" fillId="7" borderId="3" xfId="0" applyFont="1" applyFill="1" applyBorder="1" applyAlignment="1">
      <alignment horizontal="center"/>
    </xf>
    <xf numFmtId="0" fontId="2" fillId="7" borderId="2" xfId="0" applyFont="1" applyFill="1" applyBorder="1" applyAlignment="1">
      <alignment horizontal="center"/>
    </xf>
    <xf numFmtId="0" fontId="2" fillId="8" borderId="1" xfId="0" applyFont="1" applyFill="1" applyBorder="1" applyAlignment="1">
      <alignment horizontal="center"/>
    </xf>
    <xf numFmtId="0" fontId="2" fillId="8" borderId="3" xfId="0" applyFont="1" applyFill="1" applyBorder="1" applyAlignment="1">
      <alignment horizontal="center"/>
    </xf>
    <xf numFmtId="0" fontId="2" fillId="8" borderId="2" xfId="0" applyFont="1" applyFill="1" applyBorder="1" applyAlignment="1">
      <alignment horizontal="center"/>
    </xf>
    <xf numFmtId="0" fontId="5" fillId="7" borderId="1" xfId="0" applyFont="1" applyFill="1" applyBorder="1" applyAlignment="1">
      <alignment horizontal="center"/>
    </xf>
    <xf numFmtId="0" fontId="1" fillId="6" borderId="0" xfId="0" applyFont="1" applyFill="1" applyAlignment="1">
      <alignment horizontal="right"/>
    </xf>
    <xf numFmtId="0" fontId="1" fillId="6" borderId="0" xfId="0" applyFont="1" applyFill="1" applyAlignment="1">
      <alignment horizontal="left"/>
    </xf>
    <xf numFmtId="0" fontId="1" fillId="6" borderId="11" xfId="0" applyFont="1" applyFill="1" applyBorder="1" applyAlignment="1">
      <alignment horizontal="left"/>
    </xf>
    <xf numFmtId="0" fontId="1" fillId="6" borderId="10" xfId="0" applyFont="1" applyFill="1" applyBorder="1" applyAlignment="1">
      <alignment horizontal="left"/>
    </xf>
    <xf numFmtId="0" fontId="1" fillId="6" borderId="11" xfId="0" applyFont="1" applyFill="1" applyBorder="1" applyAlignment="1">
      <alignment horizontal="center"/>
    </xf>
    <xf numFmtId="0" fontId="1" fillId="6" borderId="10" xfId="0" applyFont="1" applyFill="1" applyBorder="1" applyAlignment="1">
      <alignment horizontal="center"/>
    </xf>
    <xf numFmtId="0" fontId="1" fillId="6" borderId="0" xfId="0" applyFont="1" applyFill="1" applyAlignment="1">
      <alignment horizontal="center"/>
    </xf>
    <xf numFmtId="0" fontId="2" fillId="7" borderId="1" xfId="0" applyFont="1" applyFill="1" applyBorder="1" applyAlignment="1">
      <alignment horizontal="center"/>
    </xf>
    <xf numFmtId="0" fontId="1" fillId="7" borderId="7" xfId="0" applyFont="1" applyFill="1" applyBorder="1" applyAlignment="1">
      <alignment horizontal="left"/>
    </xf>
    <xf numFmtId="0" fontId="1" fillId="7" borderId="8" xfId="0" applyFont="1" applyFill="1" applyBorder="1" applyAlignment="1">
      <alignment horizontal="right"/>
    </xf>
    <xf numFmtId="0" fontId="1" fillId="8" borderId="10" xfId="0" applyFont="1" applyFill="1" applyBorder="1" applyAlignment="1">
      <alignment horizontal="left"/>
    </xf>
    <xf numFmtId="0" fontId="1" fillId="8" borderId="7" xfId="0" applyFont="1" applyFill="1" applyBorder="1" applyAlignment="1">
      <alignment horizontal="left"/>
    </xf>
    <xf numFmtId="0" fontId="1" fillId="8" borderId="8" xfId="0" applyFont="1" applyFill="1" applyBorder="1" applyAlignment="1">
      <alignment horizontal="right"/>
    </xf>
    <xf numFmtId="0" fontId="1" fillId="8" borderId="0" xfId="0" applyFont="1" applyFill="1" applyAlignment="1">
      <alignment horizontal="right"/>
    </xf>
    <xf numFmtId="0" fontId="1" fillId="8" borderId="0" xfId="0" applyFont="1" applyFill="1" applyAlignment="1">
      <alignment horizontal="left"/>
    </xf>
    <xf numFmtId="0" fontId="1" fillId="8" borderId="11" xfId="0" applyFont="1" applyFill="1" applyBorder="1" applyAlignment="1">
      <alignment horizontal="left"/>
    </xf>
    <xf numFmtId="0" fontId="1" fillId="6" borderId="8" xfId="0" applyFont="1" applyFill="1" applyBorder="1" applyAlignment="1">
      <alignment horizontal="right"/>
    </xf>
    <xf numFmtId="0" fontId="5" fillId="10" borderId="1" xfId="0" applyFont="1" applyFill="1" applyBorder="1" applyAlignment="1">
      <alignment horizontal="center"/>
    </xf>
    <xf numFmtId="0" fontId="5" fillId="10" borderId="3" xfId="0" applyFont="1" applyFill="1" applyBorder="1" applyAlignment="1">
      <alignment horizontal="center"/>
    </xf>
    <xf numFmtId="0" fontId="5" fillId="10" borderId="2" xfId="0" applyFont="1" applyFill="1" applyBorder="1" applyAlignment="1">
      <alignment horizontal="center"/>
    </xf>
    <xf numFmtId="0" fontId="1" fillId="10" borderId="10" xfId="0" applyFont="1" applyFill="1" applyBorder="1" applyAlignment="1">
      <alignment horizontal="left"/>
    </xf>
    <xf numFmtId="0" fontId="1" fillId="10" borderId="0" xfId="0" applyFont="1" applyFill="1" applyAlignment="1">
      <alignment horizontal="right"/>
    </xf>
    <xf numFmtId="0" fontId="1" fillId="10" borderId="0" xfId="0" applyFont="1" applyFill="1" applyAlignment="1">
      <alignment horizontal="left"/>
    </xf>
    <xf numFmtId="0" fontId="1" fillId="10" borderId="11" xfId="0" applyFont="1" applyFill="1" applyBorder="1" applyAlignment="1">
      <alignment horizontal="left"/>
    </xf>
    <xf numFmtId="0" fontId="1" fillId="10" borderId="10" xfId="0" applyFont="1" applyFill="1" applyBorder="1"/>
    <xf numFmtId="0" fontId="1" fillId="10" borderId="0" xfId="0" applyFont="1" applyFill="1"/>
    <xf numFmtId="0" fontId="1" fillId="10" borderId="11" xfId="0" applyFont="1" applyFill="1" applyBorder="1"/>
    <xf numFmtId="0" fontId="1" fillId="10" borderId="7" xfId="0" applyFont="1" applyFill="1" applyBorder="1"/>
    <xf numFmtId="0" fontId="1" fillId="10" borderId="8" xfId="0" applyFont="1" applyFill="1" applyBorder="1" applyAlignment="1">
      <alignment horizontal="right"/>
    </xf>
    <xf numFmtId="0" fontId="1" fillId="10" borderId="8" xfId="0" applyFont="1" applyFill="1" applyBorder="1"/>
    <xf numFmtId="0" fontId="1" fillId="10" borderId="9" xfId="0" applyFont="1" applyFill="1" applyBorder="1"/>
    <xf numFmtId="0" fontId="1" fillId="6" borderId="1" xfId="0" applyFont="1" applyFill="1" applyBorder="1"/>
    <xf numFmtId="0" fontId="1" fillId="6" borderId="3" xfId="0" applyFont="1" applyFill="1" applyBorder="1" applyAlignment="1">
      <alignment horizontal="left"/>
    </xf>
    <xf numFmtId="0" fontId="1" fillId="6" borderId="8" xfId="0" applyFont="1" applyFill="1" applyBorder="1" applyAlignment="1">
      <alignment horizontal="left"/>
    </xf>
    <xf numFmtId="0" fontId="1" fillId="6" borderId="9" xfId="0" applyFont="1" applyFill="1" applyBorder="1" applyAlignment="1">
      <alignment horizontal="left"/>
    </xf>
    <xf numFmtId="0" fontId="1" fillId="6" borderId="7" xfId="0" applyFont="1" applyFill="1" applyBorder="1" applyAlignment="1">
      <alignment horizontal="left"/>
    </xf>
    <xf numFmtId="0" fontId="1" fillId="6" borderId="1" xfId="0" applyFont="1" applyFill="1" applyBorder="1" applyAlignment="1">
      <alignment horizontal="left"/>
    </xf>
    <xf numFmtId="0" fontId="1" fillId="6" borderId="3" xfId="0" applyFont="1" applyFill="1" applyBorder="1" applyAlignment="1">
      <alignment horizontal="center"/>
    </xf>
    <xf numFmtId="0" fontId="1" fillId="6" borderId="2" xfId="0" applyFont="1" applyFill="1" applyBorder="1" applyAlignment="1">
      <alignment horizontal="center"/>
    </xf>
    <xf numFmtId="0" fontId="1" fillId="7" borderId="8" xfId="0" applyFont="1" applyFill="1" applyBorder="1" applyAlignment="1">
      <alignment horizontal="left"/>
    </xf>
    <xf numFmtId="0" fontId="1" fillId="7" borderId="9" xfId="0" applyFont="1" applyFill="1" applyBorder="1" applyAlignment="1">
      <alignment horizontal="left"/>
    </xf>
    <xf numFmtId="0" fontId="1" fillId="7" borderId="1" xfId="0" applyFont="1" applyFill="1" applyBorder="1"/>
    <xf numFmtId="0" fontId="1" fillId="7" borderId="3" xfId="0" applyFont="1" applyFill="1" applyBorder="1"/>
    <xf numFmtId="0" fontId="1" fillId="7" borderId="2" xfId="0" applyFont="1" applyFill="1" applyBorder="1"/>
    <xf numFmtId="0" fontId="1" fillId="8" borderId="8" xfId="0" applyFont="1" applyFill="1" applyBorder="1" applyAlignment="1">
      <alignment horizontal="left"/>
    </xf>
    <xf numFmtId="0" fontId="1" fillId="8" borderId="9" xfId="0" applyFont="1" applyFill="1" applyBorder="1" applyAlignment="1">
      <alignment horizontal="left"/>
    </xf>
    <xf numFmtId="0" fontId="1" fillId="6" borderId="3" xfId="0" applyFont="1" applyFill="1" applyBorder="1"/>
    <xf numFmtId="0" fontId="1" fillId="6" borderId="2" xfId="0" applyFont="1" applyFill="1" applyBorder="1"/>
    <xf numFmtId="0" fontId="1" fillId="8" borderId="1" xfId="0" applyFont="1" applyFill="1" applyBorder="1"/>
    <xf numFmtId="0" fontId="1" fillId="8" borderId="3" xfId="0" applyFont="1" applyFill="1" applyBorder="1"/>
    <xf numFmtId="0" fontId="1" fillId="8" borderId="2" xfId="0" applyFont="1" applyFill="1" applyBorder="1"/>
    <xf numFmtId="0" fontId="1" fillId="8" borderId="3" xfId="0" applyFont="1" applyFill="1" applyBorder="1" applyAlignment="1">
      <alignment horizontal="right"/>
    </xf>
    <xf numFmtId="0" fontId="1" fillId="10" borderId="7" xfId="0" applyFont="1" applyFill="1" applyBorder="1" applyAlignment="1">
      <alignment horizontal="left"/>
    </xf>
    <xf numFmtId="0" fontId="1" fillId="10" borderId="8" xfId="0" applyFont="1" applyFill="1" applyBorder="1" applyAlignment="1">
      <alignment horizontal="left"/>
    </xf>
    <xf numFmtId="0" fontId="1" fillId="10" borderId="9" xfId="0" applyFont="1" applyFill="1" applyBorder="1" applyAlignment="1">
      <alignment horizontal="left"/>
    </xf>
    <xf numFmtId="0" fontId="1" fillId="7" borderId="1" xfId="0" applyFont="1" applyFill="1" applyBorder="1" applyAlignment="1">
      <alignment horizontal="left"/>
    </xf>
    <xf numFmtId="0" fontId="1" fillId="7" borderId="3" xfId="0" applyFont="1" applyFill="1" applyBorder="1" applyAlignment="1">
      <alignment horizontal="right"/>
    </xf>
    <xf numFmtId="0" fontId="1" fillId="7" borderId="3" xfId="0" applyFont="1" applyFill="1" applyBorder="1" applyAlignment="1">
      <alignment horizontal="left"/>
    </xf>
    <xf numFmtId="0" fontId="1" fillId="7" borderId="2" xfId="0" applyFont="1" applyFill="1" applyBorder="1" applyAlignment="1">
      <alignment horizontal="left"/>
    </xf>
    <xf numFmtId="0" fontId="1" fillId="8" borderId="1" xfId="0" applyFont="1" applyFill="1" applyBorder="1" applyAlignment="1">
      <alignment horizontal="left"/>
    </xf>
    <xf numFmtId="0" fontId="1" fillId="8" borderId="3" xfId="0" applyFont="1" applyFill="1" applyBorder="1" applyAlignment="1">
      <alignment horizontal="left"/>
    </xf>
    <xf numFmtId="0" fontId="1" fillId="8" borderId="2" xfId="0" applyFont="1" applyFill="1" applyBorder="1" applyAlignment="1">
      <alignment horizontal="left"/>
    </xf>
    <xf numFmtId="0" fontId="1" fillId="10" borderId="1" xfId="0" applyFont="1" applyFill="1" applyBorder="1" applyAlignment="1">
      <alignment horizontal="left"/>
    </xf>
    <xf numFmtId="0" fontId="1" fillId="10" borderId="3" xfId="0" applyFont="1" applyFill="1" applyBorder="1" applyAlignment="1">
      <alignment horizontal="right"/>
    </xf>
    <xf numFmtId="0" fontId="1" fillId="10" borderId="3" xfId="0" applyFont="1" applyFill="1" applyBorder="1" applyAlignment="1">
      <alignment horizontal="left"/>
    </xf>
    <xf numFmtId="0" fontId="1" fillId="10" borderId="2" xfId="0" applyFont="1" applyFill="1" applyBorder="1" applyAlignment="1">
      <alignment horizontal="left"/>
    </xf>
    <xf numFmtId="0" fontId="5" fillId="6" borderId="10" xfId="0" applyFont="1" applyFill="1" applyBorder="1" applyAlignment="1">
      <alignment horizontal="center"/>
    </xf>
    <xf numFmtId="0" fontId="5" fillId="6" borderId="0" xfId="0" applyFont="1" applyFill="1" applyAlignment="1">
      <alignment horizontal="center"/>
    </xf>
    <xf numFmtId="0" fontId="5" fillId="6" borderId="11" xfId="0" applyFont="1" applyFill="1" applyBorder="1" applyAlignment="1">
      <alignment horizontal="center"/>
    </xf>
    <xf numFmtId="0" fontId="2" fillId="3" borderId="1" xfId="0" applyFont="1" applyFill="1" applyBorder="1" applyAlignment="1">
      <alignment horizontal="center"/>
    </xf>
    <xf numFmtId="0" fontId="2" fillId="3" borderId="3" xfId="0" applyFont="1" applyFill="1" applyBorder="1" applyAlignment="1">
      <alignment horizontal="center"/>
    </xf>
    <xf numFmtId="0" fontId="2" fillId="3" borderId="2" xfId="0" applyFont="1" applyFill="1" applyBorder="1" applyAlignment="1">
      <alignment horizontal="center"/>
    </xf>
    <xf numFmtId="0" fontId="2" fillId="2" borderId="1" xfId="0" applyFont="1" applyFill="1" applyBorder="1" applyAlignment="1">
      <alignment horizontal="center"/>
    </xf>
    <xf numFmtId="0" fontId="2" fillId="2" borderId="3" xfId="0" applyFont="1" applyFill="1" applyBorder="1" applyAlignment="1">
      <alignment horizontal="center"/>
    </xf>
    <xf numFmtId="0" fontId="2" fillId="2" borderId="2" xfId="0" applyFont="1" applyFill="1" applyBorder="1" applyAlignment="1">
      <alignment horizontal="center"/>
    </xf>
    <xf numFmtId="0" fontId="2" fillId="4" borderId="1" xfId="0" applyFont="1" applyFill="1" applyBorder="1" applyAlignment="1">
      <alignment horizontal="center"/>
    </xf>
    <xf numFmtId="0" fontId="2" fillId="4" borderId="3" xfId="0" applyFont="1" applyFill="1" applyBorder="1" applyAlignment="1">
      <alignment horizontal="center"/>
    </xf>
    <xf numFmtId="0" fontId="2" fillId="4" borderId="2" xfId="0" applyFont="1" applyFill="1" applyBorder="1" applyAlignment="1">
      <alignment horizontal="center"/>
    </xf>
    <xf numFmtId="0" fontId="2" fillId="5" borderId="1" xfId="0" applyFont="1" applyFill="1" applyBorder="1" applyAlignment="1">
      <alignment horizontal="center"/>
    </xf>
    <xf numFmtId="0" fontId="2" fillId="5" borderId="3" xfId="0" applyFont="1" applyFill="1" applyBorder="1" applyAlignment="1">
      <alignment horizontal="center"/>
    </xf>
    <xf numFmtId="0" fontId="2" fillId="5" borderId="2" xfId="0" applyFont="1" applyFill="1" applyBorder="1" applyAlignment="1">
      <alignment horizontal="center"/>
    </xf>
    <xf numFmtId="0" fontId="2" fillId="9" borderId="1" xfId="0" applyFont="1" applyFill="1" applyBorder="1" applyAlignment="1">
      <alignment horizontal="center"/>
    </xf>
    <xf numFmtId="0" fontId="2" fillId="9" borderId="3" xfId="0" applyFont="1" applyFill="1" applyBorder="1" applyAlignment="1">
      <alignment horizontal="center"/>
    </xf>
    <xf numFmtId="0" fontId="2" fillId="9" borderId="2" xfId="0" applyFont="1" applyFill="1" applyBorder="1" applyAlignment="1">
      <alignment horizontal="center"/>
    </xf>
    <xf numFmtId="0" fontId="5" fillId="6" borderId="4" xfId="0" applyFont="1" applyFill="1" applyBorder="1" applyAlignment="1">
      <alignment horizontal="center"/>
    </xf>
    <xf numFmtId="0" fontId="5" fillId="6" borderId="5" xfId="0" applyFont="1" applyFill="1" applyBorder="1" applyAlignment="1">
      <alignment horizontal="center"/>
    </xf>
    <xf numFmtId="0" fontId="5" fillId="6" borderId="6" xfId="0" applyFont="1" applyFill="1" applyBorder="1" applyAlignment="1">
      <alignment horizontal="center"/>
    </xf>
    <xf numFmtId="0" fontId="5" fillId="7" borderId="4" xfId="0" applyFont="1" applyFill="1" applyBorder="1" applyAlignment="1">
      <alignment horizontal="center"/>
    </xf>
    <xf numFmtId="0" fontId="5" fillId="7" borderId="5" xfId="0" applyFont="1" applyFill="1" applyBorder="1" applyAlignment="1">
      <alignment horizontal="center"/>
    </xf>
    <xf numFmtId="0" fontId="5" fillId="8" borderId="4" xfId="0" applyFont="1" applyFill="1" applyBorder="1" applyAlignment="1">
      <alignment horizontal="center"/>
    </xf>
    <xf numFmtId="0" fontId="5" fillId="8" borderId="5" xfId="0" applyFont="1" applyFill="1" applyBorder="1" applyAlignment="1">
      <alignment horizontal="center"/>
    </xf>
    <xf numFmtId="0" fontId="5" fillId="10" borderId="4" xfId="0" applyFont="1" applyFill="1" applyBorder="1" applyAlignment="1">
      <alignment horizontal="center"/>
    </xf>
    <xf numFmtId="0" fontId="5" fillId="10" borderId="5" xfId="0" applyFont="1" applyFill="1" applyBorder="1" applyAlignment="1">
      <alignment horizontal="center"/>
    </xf>
    <xf numFmtId="0" fontId="5" fillId="10" borderId="6" xfId="0" applyFont="1" applyFill="1" applyBorder="1" applyAlignment="1">
      <alignment horizontal="center"/>
    </xf>
    <xf numFmtId="0" fontId="5" fillId="7" borderId="10" xfId="0" applyFont="1" applyFill="1" applyBorder="1" applyAlignment="1">
      <alignment horizontal="center"/>
    </xf>
    <xf numFmtId="0" fontId="5" fillId="7" borderId="0" xfId="0" applyFont="1" applyFill="1" applyAlignment="1">
      <alignment horizontal="center"/>
    </xf>
    <xf numFmtId="0" fontId="5" fillId="10" borderId="10" xfId="0" applyFont="1" applyFill="1" applyBorder="1" applyAlignment="1">
      <alignment horizontal="center"/>
    </xf>
    <xf numFmtId="0" fontId="5" fillId="10" borderId="0" xfId="0" applyFont="1" applyFill="1" applyAlignment="1">
      <alignment horizontal="center"/>
    </xf>
    <xf numFmtId="0" fontId="5" fillId="10" borderId="11" xfId="0" applyFont="1" applyFill="1" applyBorder="1" applyAlignment="1">
      <alignment horizontal="center"/>
    </xf>
    <xf numFmtId="0" fontId="5" fillId="8" borderId="10" xfId="0" applyFont="1" applyFill="1" applyBorder="1" applyAlignment="1">
      <alignment horizontal="center"/>
    </xf>
    <xf numFmtId="0" fontId="5" fillId="8" borderId="0" xfId="0" applyFont="1" applyFill="1" applyAlignment="1">
      <alignment horizontal="center"/>
    </xf>
    <xf numFmtId="0" fontId="1" fillId="0" borderId="0" xfId="0" applyFont="1" applyAlignment="1">
      <alignment horizontal="center"/>
    </xf>
    <xf numFmtId="0" fontId="5" fillId="7" borderId="11" xfId="0" applyFont="1" applyFill="1" applyBorder="1" applyAlignment="1">
      <alignment horizontal="center"/>
    </xf>
    <xf numFmtId="0" fontId="5" fillId="8" borderId="11" xfId="0" applyFont="1" applyFill="1" applyBorder="1" applyAlignment="1">
      <alignment horizontal="center"/>
    </xf>
    <xf numFmtId="0" fontId="2" fillId="3" borderId="4" xfId="0" applyFont="1" applyFill="1" applyBorder="1" applyAlignment="1">
      <alignment horizontal="center"/>
    </xf>
    <xf numFmtId="0" fontId="2" fillId="3" borderId="5" xfId="0" applyFont="1" applyFill="1" applyBorder="1" applyAlignment="1">
      <alignment horizontal="center"/>
    </xf>
    <xf numFmtId="0" fontId="2" fillId="3" borderId="6" xfId="0" applyFont="1" applyFill="1" applyBorder="1" applyAlignment="1">
      <alignment horizontal="center"/>
    </xf>
    <xf numFmtId="0" fontId="5" fillId="8" borderId="6" xfId="0" applyFont="1" applyFill="1" applyBorder="1" applyAlignment="1">
      <alignment horizontal="center"/>
    </xf>
    <xf numFmtId="0" fontId="1" fillId="6" borderId="10" xfId="0" quotePrefix="1" applyFont="1" applyFill="1" applyBorder="1" applyAlignment="1">
      <alignment horizontal="center"/>
    </xf>
    <xf numFmtId="0" fontId="1" fillId="6" borderId="0" xfId="0" applyFont="1" applyFill="1" applyAlignment="1">
      <alignment horizontal="center"/>
    </xf>
    <xf numFmtId="0" fontId="1" fillId="6" borderId="11" xfId="0" applyFont="1" applyFill="1" applyBorder="1" applyAlignment="1">
      <alignment horizontal="center"/>
    </xf>
    <xf numFmtId="0" fontId="1" fillId="6" borderId="5" xfId="0" applyFont="1" applyFill="1" applyBorder="1" applyAlignment="1">
      <alignment horizontal="center"/>
    </xf>
    <xf numFmtId="0" fontId="1" fillId="6" borderId="6" xfId="0" applyFont="1" applyFill="1" applyBorder="1" applyAlignment="1">
      <alignment horizontal="center"/>
    </xf>
    <xf numFmtId="0" fontId="1" fillId="6" borderId="0" xfId="0" applyFont="1" applyFill="1" applyBorder="1"/>
    <xf numFmtId="0" fontId="5" fillId="8" borderId="0"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FF7171"/>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222F5-D661-4011-9858-D3F75F2AD328}">
  <dimension ref="A1:R29"/>
  <sheetViews>
    <sheetView zoomScale="76" zoomScaleNormal="60" workbookViewId="0">
      <selection activeCell="A20" sqref="A20"/>
    </sheetView>
  </sheetViews>
  <sheetFormatPr defaultRowHeight="26.25" x14ac:dyDescent="0.4"/>
  <cols>
    <col min="1" max="1" width="94.28515625" style="1" bestFit="1" customWidth="1"/>
    <col min="2" max="2" width="14.42578125" style="1" bestFit="1" customWidth="1"/>
    <col min="3" max="3" width="21.140625" style="1" bestFit="1" customWidth="1"/>
    <col min="4" max="4" width="43.5703125" style="1" bestFit="1" customWidth="1"/>
    <col min="5" max="5" width="94.28515625" style="1" customWidth="1"/>
    <col min="6" max="6" width="14.5703125" style="1" bestFit="1" customWidth="1"/>
    <col min="7" max="7" width="45.5703125" style="1" customWidth="1"/>
    <col min="8" max="8" width="43.5703125" style="1" bestFit="1" customWidth="1"/>
    <col min="9" max="9" width="86.85546875" style="1" bestFit="1" customWidth="1"/>
    <col min="10" max="10" width="14.5703125" style="1" bestFit="1" customWidth="1"/>
    <col min="11" max="11" width="21.5703125" style="1" bestFit="1" customWidth="1"/>
    <col min="12" max="12" width="43.5703125" style="1" bestFit="1" customWidth="1"/>
    <col min="13" max="13" width="11.5703125" style="1" bestFit="1" customWidth="1"/>
    <col min="14" max="16384" width="9.140625" style="1"/>
  </cols>
  <sheetData>
    <row r="1" spans="1:18" ht="27" thickBot="1" x14ac:dyDescent="0.45">
      <c r="A1" s="114" t="str">
        <f>"Dragon Kingdom (total " &amp; F22 &amp; ")"</f>
        <v>Dragon Kingdom (total 22722)</v>
      </c>
      <c r="B1" s="115"/>
      <c r="C1" s="115"/>
      <c r="D1" s="115"/>
      <c r="E1" s="115"/>
      <c r="F1" s="115"/>
      <c r="G1" s="115"/>
      <c r="H1" s="115"/>
      <c r="I1" s="115"/>
      <c r="J1" s="115"/>
      <c r="K1" s="115"/>
      <c r="L1" s="116"/>
      <c r="N1" s="2"/>
      <c r="P1" s="2"/>
      <c r="R1" s="2"/>
    </row>
    <row r="2" spans="1:18" ht="27" thickBot="1" x14ac:dyDescent="0.45">
      <c r="A2" s="117" t="s">
        <v>375</v>
      </c>
      <c r="B2" s="118"/>
      <c r="C2" s="118"/>
      <c r="D2" s="119"/>
      <c r="E2" s="120" t="s">
        <v>392</v>
      </c>
      <c r="F2" s="121"/>
      <c r="G2" s="121"/>
      <c r="H2" s="122"/>
      <c r="I2" s="123" t="s">
        <v>376</v>
      </c>
      <c r="J2" s="124"/>
      <c r="K2" s="124"/>
      <c r="L2" s="125"/>
    </row>
    <row r="3" spans="1:18" ht="27" thickBot="1" x14ac:dyDescent="0.45">
      <c r="A3" s="7" t="s">
        <v>0</v>
      </c>
      <c r="B3" s="8" t="s">
        <v>1</v>
      </c>
      <c r="C3" s="8" t="s">
        <v>19</v>
      </c>
      <c r="D3" s="9" t="s">
        <v>20</v>
      </c>
      <c r="E3" s="44" t="s">
        <v>0</v>
      </c>
      <c r="F3" s="28" t="s">
        <v>1</v>
      </c>
      <c r="G3" s="28" t="s">
        <v>19</v>
      </c>
      <c r="H3" s="29" t="s">
        <v>20</v>
      </c>
      <c r="I3" s="33" t="s">
        <v>0</v>
      </c>
      <c r="J3" s="34" t="s">
        <v>1</v>
      </c>
      <c r="K3" s="34" t="s">
        <v>19</v>
      </c>
      <c r="L3" s="35" t="s">
        <v>20</v>
      </c>
    </row>
    <row r="4" spans="1:18" x14ac:dyDescent="0.4">
      <c r="A4" s="129" t="s">
        <v>435</v>
      </c>
      <c r="B4" s="130"/>
      <c r="C4" s="130"/>
      <c r="D4" s="131"/>
      <c r="E4" s="139" t="s">
        <v>433</v>
      </c>
      <c r="F4" s="140"/>
      <c r="G4" s="140"/>
      <c r="H4" s="147"/>
      <c r="I4" s="144" t="s">
        <v>439</v>
      </c>
      <c r="J4" s="145"/>
      <c r="K4" s="145"/>
      <c r="L4" s="148"/>
    </row>
    <row r="5" spans="1:18" x14ac:dyDescent="0.4">
      <c r="A5" s="10" t="s">
        <v>377</v>
      </c>
      <c r="B5" s="11">
        <v>150</v>
      </c>
      <c r="C5" s="11" t="s">
        <v>2</v>
      </c>
      <c r="D5" s="12" t="s">
        <v>32</v>
      </c>
      <c r="E5" s="16" t="s">
        <v>509</v>
      </c>
      <c r="F5" s="17">
        <v>100</v>
      </c>
      <c r="G5" s="17" t="s">
        <v>2</v>
      </c>
      <c r="H5" s="18" t="s">
        <v>32</v>
      </c>
      <c r="I5" s="22" t="s">
        <v>511</v>
      </c>
      <c r="J5" s="23">
        <f>250+899</f>
        <v>1149</v>
      </c>
      <c r="K5" s="23" t="s">
        <v>2</v>
      </c>
      <c r="L5" s="24" t="s">
        <v>32</v>
      </c>
    </row>
    <row r="6" spans="1:18" x14ac:dyDescent="0.4">
      <c r="A6" s="10" t="s">
        <v>29</v>
      </c>
      <c r="B6" s="11">
        <v>300</v>
      </c>
      <c r="C6" s="11" t="s">
        <v>2</v>
      </c>
      <c r="D6" s="12" t="s">
        <v>30</v>
      </c>
      <c r="E6" s="16" t="s">
        <v>67</v>
      </c>
      <c r="F6" s="17">
        <v>2550</v>
      </c>
      <c r="G6" s="17" t="s">
        <v>2</v>
      </c>
      <c r="H6" s="18" t="s">
        <v>502</v>
      </c>
      <c r="I6" s="22" t="s">
        <v>76</v>
      </c>
      <c r="J6" s="23">
        <v>75</v>
      </c>
      <c r="K6" s="23" t="s">
        <v>2</v>
      </c>
      <c r="L6" s="24" t="s">
        <v>77</v>
      </c>
    </row>
    <row r="7" spans="1:18" x14ac:dyDescent="0.4">
      <c r="A7" s="10" t="s">
        <v>27</v>
      </c>
      <c r="B7" s="11">
        <v>100</v>
      </c>
      <c r="C7" s="11" t="s">
        <v>2</v>
      </c>
      <c r="D7" s="12" t="s">
        <v>28</v>
      </c>
      <c r="E7" s="16" t="s">
        <v>395</v>
      </c>
      <c r="F7" s="17">
        <f>70+175</f>
        <v>245</v>
      </c>
      <c r="G7" s="17" t="s">
        <v>2</v>
      </c>
      <c r="H7" s="18" t="s">
        <v>49</v>
      </c>
      <c r="I7" s="22" t="s">
        <v>85</v>
      </c>
      <c r="J7" s="23">
        <v>100</v>
      </c>
      <c r="K7" s="23" t="s">
        <v>2</v>
      </c>
      <c r="L7" s="24" t="s">
        <v>16</v>
      </c>
    </row>
    <row r="8" spans="1:18" x14ac:dyDescent="0.4">
      <c r="A8" s="10" t="s">
        <v>25</v>
      </c>
      <c r="B8" s="11">
        <v>175</v>
      </c>
      <c r="C8" s="11" t="s">
        <v>2</v>
      </c>
      <c r="D8" s="12" t="s">
        <v>26</v>
      </c>
      <c r="E8" s="16" t="s">
        <v>70</v>
      </c>
      <c r="F8" s="17">
        <v>500</v>
      </c>
      <c r="G8" s="17" t="s">
        <v>2</v>
      </c>
      <c r="H8" s="18" t="s">
        <v>18</v>
      </c>
      <c r="I8" s="22" t="s">
        <v>88</v>
      </c>
      <c r="J8" s="23">
        <v>55</v>
      </c>
      <c r="K8" s="23" t="s">
        <v>2</v>
      </c>
      <c r="L8" s="24" t="s">
        <v>14</v>
      </c>
    </row>
    <row r="9" spans="1:18" ht="27" thickBot="1" x14ac:dyDescent="0.45">
      <c r="A9" s="13" t="s">
        <v>24</v>
      </c>
      <c r="B9" s="14">
        <v>336</v>
      </c>
      <c r="C9" s="14" t="s">
        <v>2</v>
      </c>
      <c r="D9" s="15" t="s">
        <v>2</v>
      </c>
      <c r="E9" s="16" t="s">
        <v>80</v>
      </c>
      <c r="F9" s="17">
        <v>161</v>
      </c>
      <c r="G9" s="17" t="s">
        <v>2</v>
      </c>
      <c r="H9" s="18" t="s">
        <v>14</v>
      </c>
      <c r="I9" s="22" t="s">
        <v>78</v>
      </c>
      <c r="J9" s="23">
        <v>395</v>
      </c>
      <c r="K9" s="23" t="s">
        <v>2</v>
      </c>
      <c r="L9" s="24" t="s">
        <v>214</v>
      </c>
    </row>
    <row r="10" spans="1:18" x14ac:dyDescent="0.4">
      <c r="A10" s="10" t="s">
        <v>388</v>
      </c>
      <c r="B10" s="11"/>
      <c r="C10" s="11">
        <f>SUM(B5:B9)</f>
        <v>1061</v>
      </c>
      <c r="D10" s="12"/>
      <c r="E10" s="16" t="s">
        <v>44</v>
      </c>
      <c r="F10" s="17">
        <f>345+25</f>
        <v>370</v>
      </c>
      <c r="G10" s="17" t="s">
        <v>2</v>
      </c>
      <c r="H10" s="18" t="s">
        <v>214</v>
      </c>
      <c r="I10" s="22" t="s">
        <v>512</v>
      </c>
      <c r="J10" s="23">
        <f>5186+193</f>
        <v>5379</v>
      </c>
      <c r="K10" s="23" t="s">
        <v>2</v>
      </c>
      <c r="L10" s="24" t="s">
        <v>2</v>
      </c>
    </row>
    <row r="11" spans="1:18" ht="27" thickBot="1" x14ac:dyDescent="0.45">
      <c r="A11" s="111" t="s">
        <v>436</v>
      </c>
      <c r="B11" s="112"/>
      <c r="C11" s="112"/>
      <c r="D11" s="113"/>
      <c r="E11" s="16" t="s">
        <v>65</v>
      </c>
      <c r="F11" s="17">
        <v>1000</v>
      </c>
      <c r="G11" s="17" t="s">
        <v>2</v>
      </c>
      <c r="H11" s="18" t="s">
        <v>66</v>
      </c>
      <c r="I11" s="25" t="s">
        <v>90</v>
      </c>
      <c r="J11" s="26">
        <v>100</v>
      </c>
      <c r="K11" s="26" t="s">
        <v>89</v>
      </c>
      <c r="L11" s="27" t="s">
        <v>32</v>
      </c>
    </row>
    <row r="12" spans="1:18" ht="27" thickBot="1" x14ac:dyDescent="0.45">
      <c r="A12" s="10" t="s">
        <v>378</v>
      </c>
      <c r="B12" s="11">
        <v>500</v>
      </c>
      <c r="C12" s="11" t="s">
        <v>6</v>
      </c>
      <c r="D12" s="12" t="s">
        <v>18</v>
      </c>
      <c r="E12" s="19" t="s">
        <v>508</v>
      </c>
      <c r="F12" s="20">
        <f>953+1806</f>
        <v>2759</v>
      </c>
      <c r="G12" s="20" t="s">
        <v>2</v>
      </c>
      <c r="H12" s="20" t="s">
        <v>2</v>
      </c>
      <c r="I12" s="22" t="s">
        <v>388</v>
      </c>
      <c r="J12" s="23"/>
      <c r="K12" s="23">
        <f>SUM(J5:J11)</f>
        <v>7253</v>
      </c>
      <c r="L12" s="24"/>
    </row>
    <row r="13" spans="1:18" x14ac:dyDescent="0.4">
      <c r="A13" s="10" t="s">
        <v>389</v>
      </c>
      <c r="B13" s="11">
        <v>20</v>
      </c>
      <c r="C13" s="11" t="s">
        <v>6</v>
      </c>
      <c r="D13" s="12" t="s">
        <v>16</v>
      </c>
      <c r="E13" s="16" t="s">
        <v>388</v>
      </c>
      <c r="F13" s="17"/>
      <c r="G13" s="17">
        <f>SUM(F5:F12)</f>
        <v>7685</v>
      </c>
      <c r="H13" s="18"/>
      <c r="I13" s="144" t="s">
        <v>440</v>
      </c>
      <c r="J13" s="145"/>
      <c r="K13" s="145"/>
      <c r="L13" s="148"/>
    </row>
    <row r="14" spans="1:18" x14ac:dyDescent="0.4">
      <c r="A14" s="10" t="s">
        <v>383</v>
      </c>
      <c r="B14" s="11">
        <v>20</v>
      </c>
      <c r="C14" s="11" t="s">
        <v>6</v>
      </c>
      <c r="D14" s="12" t="s">
        <v>14</v>
      </c>
      <c r="E14" s="139" t="s">
        <v>434</v>
      </c>
      <c r="F14" s="140"/>
      <c r="G14" s="140"/>
      <c r="H14" s="147"/>
      <c r="I14" s="22" t="s">
        <v>85</v>
      </c>
      <c r="J14" s="23">
        <v>40</v>
      </c>
      <c r="K14" s="23" t="s">
        <v>82</v>
      </c>
      <c r="L14" s="24" t="s">
        <v>16</v>
      </c>
    </row>
    <row r="15" spans="1:18" ht="27" thickBot="1" x14ac:dyDescent="0.45">
      <c r="A15" s="13" t="s">
        <v>381</v>
      </c>
      <c r="B15" s="14">
        <f>897+755</f>
        <v>1652</v>
      </c>
      <c r="C15" s="14" t="s">
        <v>6</v>
      </c>
      <c r="D15" s="15" t="s">
        <v>2</v>
      </c>
      <c r="E15" s="16" t="s">
        <v>399</v>
      </c>
      <c r="F15" s="17">
        <v>500</v>
      </c>
      <c r="G15" s="17" t="s">
        <v>54</v>
      </c>
      <c r="H15" s="18" t="s">
        <v>18</v>
      </c>
      <c r="I15" s="22" t="s">
        <v>84</v>
      </c>
      <c r="J15" s="23">
        <v>60</v>
      </c>
      <c r="K15" s="23" t="s">
        <v>82</v>
      </c>
      <c r="L15" s="24" t="s">
        <v>14</v>
      </c>
    </row>
    <row r="16" spans="1:18" x14ac:dyDescent="0.4">
      <c r="A16" s="10" t="s">
        <v>388</v>
      </c>
      <c r="B16" s="11"/>
      <c r="C16" s="11">
        <f>SUM(B12:B15)</f>
        <v>2192</v>
      </c>
      <c r="D16" s="12">
        <f>C10+C16</f>
        <v>3253</v>
      </c>
      <c r="E16" s="16" t="s">
        <v>50</v>
      </c>
      <c r="F16" s="17">
        <v>100</v>
      </c>
      <c r="G16" s="17" t="s">
        <v>54</v>
      </c>
      <c r="H16" s="18" t="s">
        <v>214</v>
      </c>
      <c r="I16" s="22" t="s">
        <v>86</v>
      </c>
      <c r="J16" s="23">
        <v>75</v>
      </c>
      <c r="K16" s="23" t="s">
        <v>82</v>
      </c>
      <c r="L16" s="24" t="s">
        <v>214</v>
      </c>
    </row>
    <row r="17" spans="1:12" ht="27" thickBot="1" x14ac:dyDescent="0.45">
      <c r="A17" s="111" t="s">
        <v>437</v>
      </c>
      <c r="B17" s="112"/>
      <c r="C17" s="112"/>
      <c r="D17" s="113"/>
      <c r="E17" s="16" t="s">
        <v>265</v>
      </c>
      <c r="F17" s="17">
        <v>260</v>
      </c>
      <c r="G17" s="17" t="s">
        <v>54</v>
      </c>
      <c r="H17" s="18" t="s">
        <v>2</v>
      </c>
      <c r="I17" s="25" t="s">
        <v>265</v>
      </c>
      <c r="J17" s="26">
        <f>187+289</f>
        <v>476</v>
      </c>
      <c r="K17" s="26" t="s">
        <v>82</v>
      </c>
      <c r="L17" s="27" t="s">
        <v>2</v>
      </c>
    </row>
    <row r="18" spans="1:12" ht="27" thickBot="1" x14ac:dyDescent="0.45">
      <c r="A18" s="10" t="s">
        <v>506</v>
      </c>
      <c r="B18" s="11">
        <v>1000</v>
      </c>
      <c r="C18" s="11" t="s">
        <v>125</v>
      </c>
      <c r="D18" s="12" t="s">
        <v>18</v>
      </c>
      <c r="E18" s="19" t="s">
        <v>400</v>
      </c>
      <c r="F18" s="20">
        <v>500</v>
      </c>
      <c r="G18" s="20" t="s">
        <v>59</v>
      </c>
      <c r="H18" s="21" t="s">
        <v>18</v>
      </c>
      <c r="I18" s="93" t="s">
        <v>388</v>
      </c>
      <c r="J18" s="94"/>
      <c r="K18" s="94">
        <f>SUM(J14:J17)</f>
        <v>651</v>
      </c>
      <c r="L18" s="95">
        <f>K12+K18</f>
        <v>7904</v>
      </c>
    </row>
    <row r="19" spans="1:12" ht="27" thickBot="1" x14ac:dyDescent="0.45">
      <c r="A19" s="10" t="s">
        <v>507</v>
      </c>
      <c r="B19" s="11">
        <v>60</v>
      </c>
      <c r="C19" s="11" t="s">
        <v>125</v>
      </c>
      <c r="D19" s="12" t="s">
        <v>16</v>
      </c>
      <c r="E19" s="86" t="s">
        <v>388</v>
      </c>
      <c r="F19" s="87"/>
      <c r="G19" s="87">
        <f>SUM(F15:F18)</f>
        <v>1360</v>
      </c>
      <c r="H19" s="88">
        <f>G13+G19</f>
        <v>9045</v>
      </c>
      <c r="I19" s="25" t="s">
        <v>96</v>
      </c>
      <c r="J19" s="26">
        <f>SUM(J5:J18)</f>
        <v>7904</v>
      </c>
      <c r="K19" s="26"/>
      <c r="L19" s="27"/>
    </row>
    <row r="20" spans="1:12" ht="27" thickBot="1" x14ac:dyDescent="0.45">
      <c r="A20" s="10" t="s">
        <v>84</v>
      </c>
      <c r="B20" s="11">
        <v>40</v>
      </c>
      <c r="C20" s="11" t="s">
        <v>125</v>
      </c>
      <c r="D20" s="12" t="s">
        <v>14</v>
      </c>
      <c r="E20" s="19" t="s">
        <v>71</v>
      </c>
      <c r="F20" s="20">
        <f>SUM(F5:F19)</f>
        <v>9045</v>
      </c>
      <c r="G20" s="20"/>
      <c r="H20" s="21"/>
    </row>
    <row r="21" spans="1:12" x14ac:dyDescent="0.4">
      <c r="A21" s="10" t="s">
        <v>9</v>
      </c>
      <c r="B21" s="11">
        <v>20</v>
      </c>
      <c r="C21" s="11" t="s">
        <v>125</v>
      </c>
      <c r="D21" s="12" t="s">
        <v>214</v>
      </c>
      <c r="I21" s="1" t="s">
        <v>404</v>
      </c>
    </row>
    <row r="22" spans="1:12" ht="27" thickBot="1" x14ac:dyDescent="0.45">
      <c r="A22" s="13" t="s">
        <v>384</v>
      </c>
      <c r="B22" s="14">
        <f>451+99</f>
        <v>550</v>
      </c>
      <c r="C22" s="14" t="s">
        <v>125</v>
      </c>
      <c r="D22" s="15" t="s">
        <v>2</v>
      </c>
      <c r="E22" s="1" t="s">
        <v>206</v>
      </c>
      <c r="F22" s="1">
        <f>B29+F20+J19</f>
        <v>22722</v>
      </c>
    </row>
    <row r="23" spans="1:12" x14ac:dyDescent="0.4">
      <c r="A23" s="10" t="s">
        <v>388</v>
      </c>
      <c r="B23" s="11"/>
      <c r="C23" s="11">
        <f>SUM(B18:B22)</f>
        <v>1670</v>
      </c>
      <c r="D23" s="12">
        <f>D16+C23</f>
        <v>4923</v>
      </c>
    </row>
    <row r="24" spans="1:12" x14ac:dyDescent="0.4">
      <c r="A24" s="111" t="s">
        <v>438</v>
      </c>
      <c r="B24" s="112"/>
      <c r="C24" s="112"/>
      <c r="D24" s="113"/>
    </row>
    <row r="25" spans="1:12" x14ac:dyDescent="0.4">
      <c r="A25" s="10" t="s">
        <v>37</v>
      </c>
      <c r="B25" s="11">
        <v>310</v>
      </c>
      <c r="C25" s="11" t="s">
        <v>390</v>
      </c>
      <c r="D25" s="12" t="s">
        <v>2</v>
      </c>
    </row>
    <row r="26" spans="1:12" x14ac:dyDescent="0.4">
      <c r="A26" s="10" t="s">
        <v>42</v>
      </c>
      <c r="B26" s="11">
        <f>4973-4933</f>
        <v>40</v>
      </c>
      <c r="C26" s="11" t="s">
        <v>390</v>
      </c>
      <c r="D26" s="12" t="s">
        <v>214</v>
      </c>
    </row>
    <row r="27" spans="1:12" ht="27" thickBot="1" x14ac:dyDescent="0.45">
      <c r="A27" s="13" t="s">
        <v>387</v>
      </c>
      <c r="B27" s="14">
        <v>500</v>
      </c>
      <c r="C27" s="14" t="s">
        <v>390</v>
      </c>
      <c r="D27" s="15" t="s">
        <v>391</v>
      </c>
    </row>
    <row r="28" spans="1:12" ht="27" thickBot="1" x14ac:dyDescent="0.45">
      <c r="A28" s="76" t="s">
        <v>388</v>
      </c>
      <c r="B28" s="91"/>
      <c r="C28" s="91">
        <f>SUM(B25:B27)</f>
        <v>850</v>
      </c>
      <c r="D28" s="92">
        <f>D23+C28</f>
        <v>5773</v>
      </c>
    </row>
    <row r="29" spans="1:12" ht="27" thickBot="1" x14ac:dyDescent="0.45">
      <c r="A29" s="13" t="s">
        <v>97</v>
      </c>
      <c r="B29" s="14">
        <f>SUM(B2:B27)</f>
        <v>5773</v>
      </c>
      <c r="C29" s="14"/>
      <c r="D29" s="15"/>
    </row>
  </sheetData>
  <sortState xmlns:xlrd2="http://schemas.microsoft.com/office/spreadsheetml/2017/richdata2" ref="I14:L17">
    <sortCondition ref="K14:K17"/>
    <sortCondition ref="L14:L17"/>
  </sortState>
  <mergeCells count="12">
    <mergeCell ref="A11:D11"/>
    <mergeCell ref="I13:L13"/>
    <mergeCell ref="E14:H14"/>
    <mergeCell ref="A17:D17"/>
    <mergeCell ref="A24:D24"/>
    <mergeCell ref="A1:L1"/>
    <mergeCell ref="A2:D2"/>
    <mergeCell ref="E2:H2"/>
    <mergeCell ref="I2:L2"/>
    <mergeCell ref="A4:D4"/>
    <mergeCell ref="E4:H4"/>
    <mergeCell ref="I4:L4"/>
  </mergeCells>
  <pageMargins left="0.7" right="0.7" top="0.75" bottom="0.75" header="0.3" footer="0.3"/>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BB005-0BB7-44A2-958E-799D8ACDC923}">
  <dimension ref="A1:R60"/>
  <sheetViews>
    <sheetView topLeftCell="D1" zoomScale="70" zoomScaleNormal="70" workbookViewId="0">
      <selection activeCell="I30" sqref="I30"/>
    </sheetView>
  </sheetViews>
  <sheetFormatPr defaultRowHeight="26.25" x14ac:dyDescent="0.4"/>
  <cols>
    <col min="1" max="1" width="118.28515625" style="1" bestFit="1" customWidth="1"/>
    <col min="2" max="2" width="17.85546875" style="1" bestFit="1" customWidth="1"/>
    <col min="3" max="3" width="36" style="1" bestFit="1" customWidth="1"/>
    <col min="4" max="4" width="48.28515625" style="1" bestFit="1" customWidth="1"/>
    <col min="5" max="5" width="92.7109375" style="1" bestFit="1" customWidth="1"/>
    <col min="6" max="6" width="14.42578125" style="1" customWidth="1"/>
    <col min="7" max="7" width="57.42578125" style="1" bestFit="1" customWidth="1"/>
    <col min="8" max="8" width="58.7109375" style="1" bestFit="1" customWidth="1"/>
    <col min="9" max="9" width="101" style="1" bestFit="1" customWidth="1"/>
    <col min="10" max="10" width="14.42578125" style="1" bestFit="1" customWidth="1"/>
    <col min="11" max="11" width="58.28515625" style="1" bestFit="1" customWidth="1"/>
    <col min="12" max="12" width="49.140625" style="1" bestFit="1" customWidth="1"/>
    <col min="13" max="13" width="12" style="1" bestFit="1" customWidth="1"/>
    <col min="14" max="16384" width="9.140625" style="1"/>
  </cols>
  <sheetData>
    <row r="1" spans="1:18" ht="27" thickBot="1" x14ac:dyDescent="0.45">
      <c r="A1" s="149" t="str">
        <f>"Lost Cities (total " &amp; F29 &amp; ")"</f>
        <v>Lost Cities (total 34648)</v>
      </c>
      <c r="B1" s="150"/>
      <c r="C1" s="150"/>
      <c r="D1" s="150"/>
      <c r="E1" s="150"/>
      <c r="F1" s="150"/>
      <c r="G1" s="150"/>
      <c r="H1" s="150"/>
      <c r="I1" s="150"/>
      <c r="J1" s="150"/>
      <c r="K1" s="150"/>
      <c r="L1" s="151"/>
      <c r="N1" s="2"/>
      <c r="P1" s="2"/>
      <c r="R1" s="2"/>
    </row>
    <row r="2" spans="1:18" ht="27" thickBot="1" x14ac:dyDescent="0.45">
      <c r="A2" s="117" t="s">
        <v>98</v>
      </c>
      <c r="B2" s="118"/>
      <c r="C2" s="118"/>
      <c r="D2" s="119"/>
      <c r="E2" s="120" t="s">
        <v>146</v>
      </c>
      <c r="F2" s="121"/>
      <c r="G2" s="121"/>
      <c r="H2" s="122"/>
      <c r="I2" s="123" t="s">
        <v>170</v>
      </c>
      <c r="J2" s="124"/>
      <c r="K2" s="124"/>
      <c r="L2" s="125"/>
    </row>
    <row r="3" spans="1:18" ht="27" thickBot="1" x14ac:dyDescent="0.45">
      <c r="A3" s="36" t="s">
        <v>0</v>
      </c>
      <c r="B3" s="37" t="s">
        <v>1</v>
      </c>
      <c r="C3" s="37" t="s">
        <v>19</v>
      </c>
      <c r="D3" s="38" t="s">
        <v>20</v>
      </c>
      <c r="E3" s="39" t="s">
        <v>0</v>
      </c>
      <c r="F3" s="39" t="s">
        <v>1</v>
      </c>
      <c r="G3" s="39" t="s">
        <v>19</v>
      </c>
      <c r="H3" s="40" t="s">
        <v>20</v>
      </c>
      <c r="I3" s="41" t="s">
        <v>0</v>
      </c>
      <c r="J3" s="42" t="s">
        <v>1</v>
      </c>
      <c r="K3" s="42" t="s">
        <v>19</v>
      </c>
      <c r="L3" s="43" t="s">
        <v>20</v>
      </c>
    </row>
    <row r="4" spans="1:18" x14ac:dyDescent="0.4">
      <c r="A4" s="111" t="s">
        <v>441</v>
      </c>
      <c r="B4" s="112"/>
      <c r="C4" s="112"/>
      <c r="D4" s="113"/>
      <c r="E4" s="132" t="s">
        <v>455</v>
      </c>
      <c r="F4" s="133"/>
      <c r="G4" s="133"/>
      <c r="H4" s="133"/>
      <c r="I4" s="134" t="s">
        <v>446</v>
      </c>
      <c r="J4" s="135"/>
      <c r="K4" s="135"/>
      <c r="L4" s="152"/>
    </row>
    <row r="5" spans="1:18" x14ac:dyDescent="0.4">
      <c r="A5" s="10" t="s">
        <v>103</v>
      </c>
      <c r="B5" s="11">
        <v>200</v>
      </c>
      <c r="C5" s="11" t="s">
        <v>2</v>
      </c>
      <c r="D5" s="12" t="s">
        <v>6</v>
      </c>
      <c r="E5" s="16" t="s">
        <v>148</v>
      </c>
      <c r="F5" s="17">
        <v>125</v>
      </c>
      <c r="G5" s="17" t="s">
        <v>2</v>
      </c>
      <c r="H5" s="17" t="s">
        <v>77</v>
      </c>
      <c r="I5" s="22" t="s">
        <v>172</v>
      </c>
      <c r="J5" s="23">
        <v>240</v>
      </c>
      <c r="K5" s="23" t="s">
        <v>2</v>
      </c>
      <c r="L5" s="24" t="s">
        <v>2</v>
      </c>
    </row>
    <row r="6" spans="1:18" ht="27" thickBot="1" x14ac:dyDescent="0.45">
      <c r="A6" s="10" t="s">
        <v>101</v>
      </c>
      <c r="B6" s="11">
        <f>350-75</f>
        <v>275</v>
      </c>
      <c r="C6" s="11" t="s">
        <v>2</v>
      </c>
      <c r="D6" s="12" t="s">
        <v>28</v>
      </c>
      <c r="E6" s="16" t="s">
        <v>150</v>
      </c>
      <c r="F6" s="17">
        <v>20</v>
      </c>
      <c r="G6" s="17" t="s">
        <v>2</v>
      </c>
      <c r="H6" s="17" t="s">
        <v>32</v>
      </c>
      <c r="I6" s="25" t="s">
        <v>174</v>
      </c>
      <c r="J6" s="26">
        <v>125</v>
      </c>
      <c r="K6" s="26" t="s">
        <v>2</v>
      </c>
      <c r="L6" s="27" t="s">
        <v>214</v>
      </c>
    </row>
    <row r="7" spans="1:18" x14ac:dyDescent="0.4">
      <c r="A7" s="10" t="s">
        <v>104</v>
      </c>
      <c r="B7" s="11">
        <v>175</v>
      </c>
      <c r="C7" s="11" t="s">
        <v>2</v>
      </c>
      <c r="D7" s="12" t="s">
        <v>105</v>
      </c>
      <c r="E7" s="16" t="s">
        <v>84</v>
      </c>
      <c r="F7" s="17">
        <v>80</v>
      </c>
      <c r="G7" s="17" t="s">
        <v>2</v>
      </c>
      <c r="H7" s="17" t="s">
        <v>14</v>
      </c>
      <c r="I7" s="22" t="s">
        <v>388</v>
      </c>
      <c r="J7" s="23"/>
      <c r="K7" s="23">
        <f>J5+J6</f>
        <v>365</v>
      </c>
      <c r="L7" s="24"/>
    </row>
    <row r="8" spans="1:18" ht="27" thickBot="1" x14ac:dyDescent="0.45">
      <c r="A8" s="10" t="s">
        <v>85</v>
      </c>
      <c r="B8" s="11">
        <v>60</v>
      </c>
      <c r="C8" s="11" t="s">
        <v>2</v>
      </c>
      <c r="D8" s="12" t="s">
        <v>16</v>
      </c>
      <c r="E8" s="19" t="s">
        <v>149</v>
      </c>
      <c r="F8" s="20">
        <v>507</v>
      </c>
      <c r="G8" s="20" t="s">
        <v>2</v>
      </c>
      <c r="H8" s="21" t="s">
        <v>2</v>
      </c>
      <c r="I8" s="144" t="s">
        <v>447</v>
      </c>
      <c r="J8" s="145"/>
      <c r="K8" s="145"/>
      <c r="L8" s="148"/>
    </row>
    <row r="9" spans="1:18" x14ac:dyDescent="0.4">
      <c r="A9" s="10" t="s">
        <v>134</v>
      </c>
      <c r="B9" s="11">
        <v>20</v>
      </c>
      <c r="C9" s="11" t="s">
        <v>2</v>
      </c>
      <c r="D9" s="12" t="s">
        <v>14</v>
      </c>
      <c r="E9" s="16" t="s">
        <v>388</v>
      </c>
      <c r="F9" s="17"/>
      <c r="G9" s="17">
        <f>SUM(F5:F8)</f>
        <v>732</v>
      </c>
      <c r="H9" s="17"/>
      <c r="I9" s="22" t="s">
        <v>518</v>
      </c>
      <c r="J9" s="23">
        <f>225+250</f>
        <v>475</v>
      </c>
      <c r="K9" s="23" t="s">
        <v>89</v>
      </c>
      <c r="L9" s="24" t="s">
        <v>32</v>
      </c>
    </row>
    <row r="10" spans="1:18" x14ac:dyDescent="0.4">
      <c r="A10" s="10" t="s">
        <v>135</v>
      </c>
      <c r="B10" s="11">
        <f>765-175</f>
        <v>590</v>
      </c>
      <c r="C10" s="11" t="s">
        <v>2</v>
      </c>
      <c r="D10" s="12" t="s">
        <v>214</v>
      </c>
      <c r="E10" s="139" t="s">
        <v>456</v>
      </c>
      <c r="F10" s="140"/>
      <c r="G10" s="140"/>
      <c r="H10" s="147"/>
      <c r="I10" s="22" t="s">
        <v>424</v>
      </c>
      <c r="J10" s="23">
        <v>50</v>
      </c>
      <c r="K10" s="23" t="s">
        <v>89</v>
      </c>
      <c r="L10" s="24" t="s">
        <v>105</v>
      </c>
    </row>
    <row r="11" spans="1:18" x14ac:dyDescent="0.4">
      <c r="A11" s="10" t="s">
        <v>25</v>
      </c>
      <c r="B11" s="11">
        <v>750</v>
      </c>
      <c r="C11" s="11" t="s">
        <v>2</v>
      </c>
      <c r="D11" s="12" t="s">
        <v>26</v>
      </c>
      <c r="E11" s="16" t="s">
        <v>161</v>
      </c>
      <c r="F11" s="17">
        <v>500</v>
      </c>
      <c r="G11" s="17" t="s">
        <v>32</v>
      </c>
      <c r="H11" s="17" t="s">
        <v>18</v>
      </c>
      <c r="I11" s="22" t="s">
        <v>517</v>
      </c>
      <c r="J11" s="23">
        <v>125</v>
      </c>
      <c r="K11" s="23" t="s">
        <v>89</v>
      </c>
      <c r="L11" s="24" t="s">
        <v>214</v>
      </c>
    </row>
    <row r="12" spans="1:18" x14ac:dyDescent="0.4">
      <c r="A12" s="10" t="s">
        <v>100</v>
      </c>
      <c r="B12" s="11">
        <v>722</v>
      </c>
      <c r="C12" s="11" t="s">
        <v>2</v>
      </c>
      <c r="D12" s="12" t="s">
        <v>2</v>
      </c>
      <c r="E12" s="16" t="s">
        <v>148</v>
      </c>
      <c r="F12" s="17">
        <v>125</v>
      </c>
      <c r="G12" s="17" t="s">
        <v>32</v>
      </c>
      <c r="H12" s="17" t="s">
        <v>77</v>
      </c>
      <c r="I12" s="22" t="s">
        <v>265</v>
      </c>
      <c r="J12" s="23">
        <f>2588+2148</f>
        <v>4736</v>
      </c>
      <c r="K12" s="23" t="s">
        <v>89</v>
      </c>
      <c r="L12" s="24" t="s">
        <v>2</v>
      </c>
    </row>
    <row r="13" spans="1:18" ht="27" thickBot="1" x14ac:dyDescent="0.45">
      <c r="A13" s="13" t="s">
        <v>513</v>
      </c>
      <c r="B13" s="14">
        <v>650</v>
      </c>
      <c r="C13" s="14" t="s">
        <v>89</v>
      </c>
      <c r="D13" s="15" t="s">
        <v>32</v>
      </c>
      <c r="E13" s="16" t="s">
        <v>85</v>
      </c>
      <c r="F13" s="17">
        <v>20</v>
      </c>
      <c r="G13" s="17" t="s">
        <v>32</v>
      </c>
      <c r="H13" s="17" t="s">
        <v>16</v>
      </c>
      <c r="I13" s="22" t="s">
        <v>422</v>
      </c>
      <c r="J13" s="23">
        <v>1500</v>
      </c>
      <c r="K13" s="23" t="s">
        <v>178</v>
      </c>
      <c r="L13" s="24" t="s">
        <v>18</v>
      </c>
    </row>
    <row r="14" spans="1:18" x14ac:dyDescent="0.4">
      <c r="A14" s="10" t="s">
        <v>388</v>
      </c>
      <c r="B14" s="11"/>
      <c r="C14" s="11">
        <f>SUM(B5:B13)</f>
        <v>3442</v>
      </c>
      <c r="D14" s="12"/>
      <c r="E14" s="16" t="s">
        <v>160</v>
      </c>
      <c r="F14" s="17">
        <v>20</v>
      </c>
      <c r="G14" s="17" t="s">
        <v>32</v>
      </c>
      <c r="H14" s="17" t="s">
        <v>14</v>
      </c>
      <c r="I14" s="22" t="s">
        <v>421</v>
      </c>
      <c r="J14" s="23">
        <v>397</v>
      </c>
      <c r="K14" s="23" t="s">
        <v>178</v>
      </c>
      <c r="L14" s="24" t="s">
        <v>2</v>
      </c>
    </row>
    <row r="15" spans="1:18" ht="27" thickBot="1" x14ac:dyDescent="0.45">
      <c r="A15" s="111" t="s">
        <v>442</v>
      </c>
      <c r="B15" s="112"/>
      <c r="C15" s="112"/>
      <c r="D15" s="113"/>
      <c r="E15" s="16" t="s">
        <v>265</v>
      </c>
      <c r="F15" s="17">
        <v>730</v>
      </c>
      <c r="G15" s="17" t="s">
        <v>32</v>
      </c>
      <c r="H15" s="17" t="s">
        <v>2</v>
      </c>
      <c r="I15" s="25" t="s">
        <v>426</v>
      </c>
      <c r="J15" s="26">
        <v>50</v>
      </c>
      <c r="K15" s="26" t="s">
        <v>185</v>
      </c>
      <c r="L15" s="27" t="s">
        <v>2</v>
      </c>
    </row>
    <row r="16" spans="1:18" ht="27" thickBot="1" x14ac:dyDescent="0.45">
      <c r="A16" s="10" t="s">
        <v>514</v>
      </c>
      <c r="B16" s="11">
        <v>50</v>
      </c>
      <c r="C16" s="11" t="s">
        <v>6</v>
      </c>
      <c r="D16" s="12" t="s">
        <v>214</v>
      </c>
      <c r="E16" s="19" t="s">
        <v>510</v>
      </c>
      <c r="F16" s="20">
        <v>1575</v>
      </c>
      <c r="G16" s="20" t="s">
        <v>502</v>
      </c>
      <c r="H16" s="21" t="s">
        <v>2</v>
      </c>
      <c r="I16" s="22" t="s">
        <v>388</v>
      </c>
      <c r="J16" s="23"/>
      <c r="K16" s="23">
        <f>SUM(J9:J15)</f>
        <v>7333</v>
      </c>
      <c r="L16" s="24">
        <f>K7+K16</f>
        <v>7698</v>
      </c>
    </row>
    <row r="17" spans="1:12" x14ac:dyDescent="0.4">
      <c r="A17" s="10" t="s">
        <v>413</v>
      </c>
      <c r="B17" s="11">
        <v>20</v>
      </c>
      <c r="C17" s="11" t="s">
        <v>6</v>
      </c>
      <c r="D17" s="12" t="s">
        <v>14</v>
      </c>
      <c r="E17" s="16" t="s">
        <v>388</v>
      </c>
      <c r="F17" s="17"/>
      <c r="G17" s="17">
        <f>SUM(F11:F16)</f>
        <v>2970</v>
      </c>
      <c r="H17" s="17">
        <f>G9+G17</f>
        <v>3702</v>
      </c>
      <c r="I17" s="144" t="s">
        <v>555</v>
      </c>
      <c r="J17" s="159"/>
      <c r="K17" s="159"/>
      <c r="L17" s="148"/>
    </row>
    <row r="18" spans="1:12" ht="27" thickBot="1" x14ac:dyDescent="0.45">
      <c r="A18" s="13" t="s">
        <v>549</v>
      </c>
      <c r="B18" s="14">
        <f>148+525</f>
        <v>673</v>
      </c>
      <c r="C18" s="14" t="s">
        <v>6</v>
      </c>
      <c r="D18" s="15" t="s">
        <v>2</v>
      </c>
      <c r="E18" s="139" t="s">
        <v>454</v>
      </c>
      <c r="F18" s="140"/>
      <c r="G18" s="140"/>
      <c r="H18" s="147"/>
      <c r="I18" s="22" t="s">
        <v>427</v>
      </c>
      <c r="J18" s="23">
        <v>1500</v>
      </c>
      <c r="K18" s="23" t="s">
        <v>187</v>
      </c>
      <c r="L18" s="24" t="s">
        <v>18</v>
      </c>
    </row>
    <row r="19" spans="1:12" ht="27" thickBot="1" x14ac:dyDescent="0.45">
      <c r="A19" s="10" t="s">
        <v>388</v>
      </c>
      <c r="B19" s="11"/>
      <c r="C19" s="11">
        <f>SUM(B16:B18)</f>
        <v>743</v>
      </c>
      <c r="D19" s="12">
        <f>C14+C19</f>
        <v>4185</v>
      </c>
      <c r="E19" s="16" t="s">
        <v>147</v>
      </c>
      <c r="F19" s="17">
        <v>475</v>
      </c>
      <c r="G19" s="17" t="s">
        <v>501</v>
      </c>
      <c r="H19" s="17" t="s">
        <v>77</v>
      </c>
      <c r="I19" s="25" t="s">
        <v>428</v>
      </c>
      <c r="J19" s="26">
        <v>50</v>
      </c>
      <c r="K19" s="26" t="s">
        <v>187</v>
      </c>
      <c r="L19" s="27" t="s">
        <v>214</v>
      </c>
    </row>
    <row r="20" spans="1:12" x14ac:dyDescent="0.4">
      <c r="A20" s="111" t="s">
        <v>443</v>
      </c>
      <c r="B20" s="112"/>
      <c r="C20" s="112"/>
      <c r="D20" s="113"/>
      <c r="E20" s="16" t="s">
        <v>160</v>
      </c>
      <c r="F20" s="17">
        <v>40</v>
      </c>
      <c r="G20" s="17" t="s">
        <v>501</v>
      </c>
      <c r="H20" s="17" t="s">
        <v>14</v>
      </c>
      <c r="I20" s="22" t="s">
        <v>388</v>
      </c>
      <c r="J20" s="23"/>
      <c r="K20" s="23">
        <f>J18+J19</f>
        <v>1550</v>
      </c>
      <c r="L20" s="24">
        <f>L16+K20</f>
        <v>9248</v>
      </c>
    </row>
    <row r="21" spans="1:12" ht="27" thickBot="1" x14ac:dyDescent="0.45">
      <c r="A21" s="10" t="s">
        <v>103</v>
      </c>
      <c r="B21" s="11">
        <v>50</v>
      </c>
      <c r="C21" s="11" t="s">
        <v>82</v>
      </c>
      <c r="D21" s="12" t="s">
        <v>6</v>
      </c>
      <c r="E21" s="19" t="s">
        <v>516</v>
      </c>
      <c r="F21" s="20">
        <v>1625</v>
      </c>
      <c r="G21" s="20" t="s">
        <v>501</v>
      </c>
      <c r="H21" s="21" t="s">
        <v>2</v>
      </c>
      <c r="I21" s="144" t="s">
        <v>448</v>
      </c>
      <c r="J21" s="145"/>
      <c r="K21" s="145"/>
      <c r="L21" s="148"/>
    </row>
    <row r="22" spans="1:12" x14ac:dyDescent="0.4">
      <c r="A22" s="10" t="s">
        <v>101</v>
      </c>
      <c r="B22" s="11">
        <v>50</v>
      </c>
      <c r="C22" s="11" t="s">
        <v>82</v>
      </c>
      <c r="D22" s="12" t="s">
        <v>28</v>
      </c>
      <c r="E22" s="16" t="s">
        <v>388</v>
      </c>
      <c r="F22" s="17"/>
      <c r="G22" s="17">
        <f>SUM(F19:F21)</f>
        <v>2140</v>
      </c>
      <c r="H22" s="17">
        <f>H17+G22</f>
        <v>5842</v>
      </c>
      <c r="I22" s="22" t="s">
        <v>175</v>
      </c>
      <c r="J22" s="23">
        <v>606</v>
      </c>
      <c r="K22" s="23" t="s">
        <v>191</v>
      </c>
      <c r="L22" s="24" t="s">
        <v>2</v>
      </c>
    </row>
    <row r="23" spans="1:12" ht="27" thickBot="1" x14ac:dyDescent="0.45">
      <c r="A23" s="10" t="s">
        <v>85</v>
      </c>
      <c r="B23" s="11">
        <v>20</v>
      </c>
      <c r="C23" s="11" t="s">
        <v>82</v>
      </c>
      <c r="D23" s="12" t="s">
        <v>16</v>
      </c>
      <c r="E23" s="139" t="s">
        <v>457</v>
      </c>
      <c r="F23" s="140"/>
      <c r="G23" s="140"/>
      <c r="H23" s="147"/>
      <c r="I23" s="25" t="s">
        <v>196</v>
      </c>
      <c r="J23" s="26">
        <v>150</v>
      </c>
      <c r="K23" s="26" t="s">
        <v>197</v>
      </c>
      <c r="L23" s="27" t="s">
        <v>2</v>
      </c>
    </row>
    <row r="24" spans="1:12" x14ac:dyDescent="0.4">
      <c r="A24" s="10" t="s">
        <v>112</v>
      </c>
      <c r="B24" s="11">
        <v>40</v>
      </c>
      <c r="C24" s="11" t="s">
        <v>82</v>
      </c>
      <c r="D24" s="12" t="s">
        <v>214</v>
      </c>
      <c r="E24" s="16" t="s">
        <v>164</v>
      </c>
      <c r="F24" s="17">
        <f>715+100</f>
        <v>815</v>
      </c>
      <c r="G24" s="17" t="s">
        <v>503</v>
      </c>
      <c r="H24" s="17" t="s">
        <v>2</v>
      </c>
      <c r="I24" s="22" t="s">
        <v>388</v>
      </c>
      <c r="J24" s="23"/>
      <c r="K24" s="23">
        <f>J22+J23</f>
        <v>756</v>
      </c>
      <c r="L24" s="24">
        <f>L16+K24</f>
        <v>8454</v>
      </c>
    </row>
    <row r="25" spans="1:12" ht="27" thickBot="1" x14ac:dyDescent="0.45">
      <c r="A25" s="10" t="s">
        <v>25</v>
      </c>
      <c r="B25" s="11">
        <v>125</v>
      </c>
      <c r="C25" s="11" t="s">
        <v>82</v>
      </c>
      <c r="D25" s="12" t="s">
        <v>26</v>
      </c>
      <c r="E25" s="19" t="s">
        <v>167</v>
      </c>
      <c r="F25" s="20">
        <v>500</v>
      </c>
      <c r="G25" s="17" t="s">
        <v>503</v>
      </c>
      <c r="H25" s="21" t="s">
        <v>18</v>
      </c>
      <c r="I25" s="144" t="s">
        <v>449</v>
      </c>
      <c r="J25" s="145"/>
      <c r="K25" s="145"/>
      <c r="L25" s="148"/>
    </row>
    <row r="26" spans="1:12" ht="27" thickBot="1" x14ac:dyDescent="0.45">
      <c r="A26" s="10" t="s">
        <v>4</v>
      </c>
      <c r="B26" s="11">
        <v>239</v>
      </c>
      <c r="C26" s="11" t="s">
        <v>82</v>
      </c>
      <c r="D26" s="12" t="s">
        <v>2</v>
      </c>
      <c r="E26" s="86" t="s">
        <v>388</v>
      </c>
      <c r="F26" s="87"/>
      <c r="G26" s="87">
        <f>SUM(F24:F25)</f>
        <v>1315</v>
      </c>
      <c r="H26" s="88">
        <f>H22+G26</f>
        <v>7157</v>
      </c>
      <c r="I26" s="22" t="s">
        <v>175</v>
      </c>
      <c r="J26" s="23">
        <f>540+1701</f>
        <v>2241</v>
      </c>
      <c r="K26" s="23" t="s">
        <v>556</v>
      </c>
      <c r="L26" s="24" t="s">
        <v>2</v>
      </c>
    </row>
    <row r="27" spans="1:12" ht="27" thickBot="1" x14ac:dyDescent="0.45">
      <c r="A27" s="10" t="s">
        <v>118</v>
      </c>
      <c r="B27" s="11">
        <v>20</v>
      </c>
      <c r="C27" s="11" t="s">
        <v>115</v>
      </c>
      <c r="D27" s="12" t="s">
        <v>16</v>
      </c>
      <c r="E27" s="19" t="s">
        <v>145</v>
      </c>
      <c r="F27" s="20">
        <f>SUM(F5:F26)</f>
        <v>7157</v>
      </c>
      <c r="G27" s="20"/>
      <c r="H27" s="20"/>
      <c r="I27" s="25" t="s">
        <v>202</v>
      </c>
      <c r="J27" s="26">
        <v>1500</v>
      </c>
      <c r="K27" s="26" t="s">
        <v>556</v>
      </c>
      <c r="L27" s="27" t="s">
        <v>18</v>
      </c>
    </row>
    <row r="28" spans="1:12" x14ac:dyDescent="0.4">
      <c r="A28" s="10" t="s">
        <v>116</v>
      </c>
      <c r="B28" s="11">
        <v>40</v>
      </c>
      <c r="C28" s="11" t="s">
        <v>115</v>
      </c>
      <c r="D28" s="12" t="s">
        <v>214</v>
      </c>
      <c r="I28" s="22" t="s">
        <v>388</v>
      </c>
      <c r="J28" s="23"/>
      <c r="K28" s="23">
        <f>SUM(J26:J27)</f>
        <v>3741</v>
      </c>
      <c r="L28" s="24">
        <f>L24+K28</f>
        <v>12195</v>
      </c>
    </row>
    <row r="29" spans="1:12" ht="27" thickBot="1" x14ac:dyDescent="0.45">
      <c r="A29" s="13" t="s">
        <v>117</v>
      </c>
      <c r="B29" s="14">
        <v>125</v>
      </c>
      <c r="C29" s="14" t="s">
        <v>115</v>
      </c>
      <c r="D29" s="15" t="s">
        <v>2</v>
      </c>
      <c r="E29" s="1" t="s">
        <v>204</v>
      </c>
      <c r="F29" s="1">
        <f>B48+F27+J32</f>
        <v>34648</v>
      </c>
      <c r="I29" s="144" t="s">
        <v>450</v>
      </c>
      <c r="J29" s="145"/>
      <c r="K29" s="145"/>
      <c r="L29" s="148"/>
    </row>
    <row r="30" spans="1:12" ht="27" thickBot="1" x14ac:dyDescent="0.45">
      <c r="A30" s="10" t="s">
        <v>388</v>
      </c>
      <c r="B30" s="11"/>
      <c r="C30" s="11">
        <f>SUM(B21:B29)</f>
        <v>709</v>
      </c>
      <c r="D30" s="12">
        <f>D19+C30</f>
        <v>4894</v>
      </c>
      <c r="I30" s="22" t="s">
        <v>558</v>
      </c>
      <c r="J30" s="23">
        <f>208+692</f>
        <v>900</v>
      </c>
      <c r="K30" s="23" t="s">
        <v>557</v>
      </c>
      <c r="L30" s="24" t="s">
        <v>2</v>
      </c>
    </row>
    <row r="31" spans="1:12" ht="27" thickBot="1" x14ac:dyDescent="0.45">
      <c r="A31" s="111" t="s">
        <v>548</v>
      </c>
      <c r="B31" s="112"/>
      <c r="C31" s="112"/>
      <c r="D31" s="113"/>
      <c r="I31" s="93" t="s">
        <v>388</v>
      </c>
      <c r="J31" s="94"/>
      <c r="K31" s="94">
        <f>J30</f>
        <v>900</v>
      </c>
      <c r="L31" s="95">
        <f>L28+K31</f>
        <v>13095</v>
      </c>
    </row>
    <row r="32" spans="1:12" ht="27" thickBot="1" x14ac:dyDescent="0.45">
      <c r="A32" s="10" t="s">
        <v>129</v>
      </c>
      <c r="B32" s="11">
        <v>20</v>
      </c>
      <c r="C32" s="11" t="s">
        <v>125</v>
      </c>
      <c r="D32" s="12" t="s">
        <v>16</v>
      </c>
      <c r="I32" s="25" t="s">
        <v>171</v>
      </c>
      <c r="J32" s="26">
        <f>SUM(J5:J31)</f>
        <v>14645</v>
      </c>
      <c r="K32" s="26"/>
      <c r="L32" s="27"/>
    </row>
    <row r="33" spans="1:6" x14ac:dyDescent="0.4">
      <c r="A33" s="10" t="s">
        <v>515</v>
      </c>
      <c r="B33" s="11">
        <v>2070</v>
      </c>
      <c r="C33" s="11" t="s">
        <v>125</v>
      </c>
      <c r="D33" s="12" t="s">
        <v>2</v>
      </c>
      <c r="F33" s="1" t="s">
        <v>554</v>
      </c>
    </row>
    <row r="34" spans="1:6" x14ac:dyDescent="0.4">
      <c r="A34" s="10" t="s">
        <v>553</v>
      </c>
      <c r="B34" s="11">
        <v>20</v>
      </c>
      <c r="C34" s="11" t="s">
        <v>131</v>
      </c>
      <c r="D34" s="12" t="s">
        <v>551</v>
      </c>
    </row>
    <row r="35" spans="1:6" x14ac:dyDescent="0.4">
      <c r="A35" s="10" t="s">
        <v>552</v>
      </c>
      <c r="B35" s="158">
        <v>493</v>
      </c>
      <c r="C35" s="158" t="s">
        <v>131</v>
      </c>
      <c r="D35" s="12" t="s">
        <v>2</v>
      </c>
    </row>
    <row r="36" spans="1:6" ht="27" thickBot="1" x14ac:dyDescent="0.45">
      <c r="A36" s="13" t="s">
        <v>550</v>
      </c>
      <c r="B36" s="14">
        <v>1050</v>
      </c>
      <c r="C36" s="14" t="s">
        <v>418</v>
      </c>
      <c r="D36" s="15" t="s">
        <v>2</v>
      </c>
    </row>
    <row r="37" spans="1:6" x14ac:dyDescent="0.4">
      <c r="A37" s="10" t="s">
        <v>388</v>
      </c>
      <c r="B37" s="11"/>
      <c r="C37" s="11">
        <f>SUM(B32:B36)</f>
        <v>3653</v>
      </c>
      <c r="D37" s="12">
        <f>D30+C37</f>
        <v>8547</v>
      </c>
    </row>
    <row r="38" spans="1:6" x14ac:dyDescent="0.4">
      <c r="A38" s="111" t="s">
        <v>453</v>
      </c>
      <c r="B38" s="112"/>
      <c r="C38" s="112"/>
      <c r="D38" s="113"/>
    </row>
    <row r="39" spans="1:6" x14ac:dyDescent="0.4">
      <c r="A39" s="10" t="s">
        <v>129</v>
      </c>
      <c r="B39" s="11">
        <v>20</v>
      </c>
      <c r="C39" s="11" t="s">
        <v>137</v>
      </c>
      <c r="D39" s="12" t="s">
        <v>16</v>
      </c>
    </row>
    <row r="40" spans="1:6" x14ac:dyDescent="0.4">
      <c r="A40" s="10" t="s">
        <v>84</v>
      </c>
      <c r="B40" s="11">
        <v>40</v>
      </c>
      <c r="C40" s="11" t="s">
        <v>137</v>
      </c>
      <c r="D40" s="12" t="s">
        <v>14</v>
      </c>
    </row>
    <row r="41" spans="1:6" x14ac:dyDescent="0.4">
      <c r="A41" s="10" t="s">
        <v>141</v>
      </c>
      <c r="B41" s="11">
        <v>200</v>
      </c>
      <c r="C41" s="11" t="s">
        <v>137</v>
      </c>
      <c r="D41" s="12" t="s">
        <v>214</v>
      </c>
    </row>
    <row r="42" spans="1:6" x14ac:dyDescent="0.4">
      <c r="A42" s="10" t="s">
        <v>515</v>
      </c>
      <c r="B42" s="11">
        <f>1499+2165</f>
        <v>3664</v>
      </c>
      <c r="C42" s="11" t="s">
        <v>137</v>
      </c>
      <c r="D42" s="12" t="s">
        <v>2</v>
      </c>
    </row>
    <row r="43" spans="1:6" ht="27" thickBot="1" x14ac:dyDescent="0.45">
      <c r="A43" s="13" t="s">
        <v>142</v>
      </c>
      <c r="B43" s="14">
        <v>275</v>
      </c>
      <c r="C43" s="14" t="s">
        <v>143</v>
      </c>
      <c r="D43" s="15" t="s">
        <v>32</v>
      </c>
    </row>
    <row r="44" spans="1:6" x14ac:dyDescent="0.4">
      <c r="A44" s="10" t="s">
        <v>388</v>
      </c>
      <c r="B44" s="11"/>
      <c r="C44" s="11">
        <f>SUM(B39:B43)</f>
        <v>4199</v>
      </c>
      <c r="D44" s="12">
        <f>D37+C44</f>
        <v>12746</v>
      </c>
    </row>
    <row r="45" spans="1:6" x14ac:dyDescent="0.4">
      <c r="A45" s="111" t="s">
        <v>445</v>
      </c>
      <c r="B45" s="112"/>
      <c r="C45" s="112"/>
      <c r="D45" s="113"/>
    </row>
    <row r="46" spans="1:6" ht="27" thickBot="1" x14ac:dyDescent="0.45">
      <c r="A46" s="13" t="s">
        <v>169</v>
      </c>
      <c r="B46" s="14">
        <v>100</v>
      </c>
      <c r="C46" s="14" t="s">
        <v>369</v>
      </c>
      <c r="D46" s="15" t="s">
        <v>214</v>
      </c>
    </row>
    <row r="47" spans="1:6" ht="27" thickBot="1" x14ac:dyDescent="0.45">
      <c r="A47" s="76" t="s">
        <v>388</v>
      </c>
      <c r="B47" s="91"/>
      <c r="C47" s="91">
        <f>B46</f>
        <v>100</v>
      </c>
      <c r="D47" s="92">
        <f>D44+C47</f>
        <v>12846</v>
      </c>
    </row>
    <row r="48" spans="1:6" ht="27" thickBot="1" x14ac:dyDescent="0.45">
      <c r="A48" s="13" t="s">
        <v>99</v>
      </c>
      <c r="B48" s="14">
        <f>SUM(B5:B46)</f>
        <v>12846</v>
      </c>
      <c r="C48" s="14"/>
      <c r="D48" s="15"/>
    </row>
    <row r="50" spans="1:4" x14ac:dyDescent="0.4">
      <c r="C50" s="3"/>
      <c r="D50" s="3"/>
    </row>
    <row r="54" spans="1:4" x14ac:dyDescent="0.4">
      <c r="A54" s="146"/>
      <c r="B54" s="146"/>
      <c r="C54" s="146"/>
      <c r="D54" s="146"/>
    </row>
    <row r="57" spans="1:4" x14ac:dyDescent="0.4">
      <c r="A57" s="146"/>
      <c r="B57" s="146"/>
      <c r="C57" s="146"/>
      <c r="D57" s="146"/>
    </row>
    <row r="60" spans="1:4" x14ac:dyDescent="0.4">
      <c r="A60" s="146"/>
      <c r="B60" s="146"/>
      <c r="C60" s="146"/>
      <c r="D60" s="146"/>
    </row>
  </sheetData>
  <sortState xmlns:xlrd2="http://schemas.microsoft.com/office/spreadsheetml/2017/richdata2" ref="A32:D36">
    <sortCondition ref="C32:C36"/>
    <sortCondition ref="D32:D36"/>
  </sortState>
  <mergeCells count="23">
    <mergeCell ref="A54:D54"/>
    <mergeCell ref="A57:D57"/>
    <mergeCell ref="A60:D60"/>
    <mergeCell ref="A20:D20"/>
    <mergeCell ref="I25:L25"/>
    <mergeCell ref="I29:L29"/>
    <mergeCell ref="A31:D31"/>
    <mergeCell ref="A38:D38"/>
    <mergeCell ref="A45:D45"/>
    <mergeCell ref="I8:L8"/>
    <mergeCell ref="E10:H10"/>
    <mergeCell ref="A15:D15"/>
    <mergeCell ref="E18:H18"/>
    <mergeCell ref="E23:H23"/>
    <mergeCell ref="I21:L21"/>
    <mergeCell ref="I17:L17"/>
    <mergeCell ref="A1:L1"/>
    <mergeCell ref="A2:D2"/>
    <mergeCell ref="E2:H2"/>
    <mergeCell ref="I2:L2"/>
    <mergeCell ref="A4:D4"/>
    <mergeCell ref="E4:H4"/>
    <mergeCell ref="I4:L4"/>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840FF-13D1-43E6-A054-AFCA74F20415}">
  <dimension ref="A1:R89"/>
  <sheetViews>
    <sheetView topLeftCell="D1" zoomScale="70" zoomScaleNormal="70" workbookViewId="0">
      <selection activeCell="K33" sqref="K33"/>
    </sheetView>
  </sheetViews>
  <sheetFormatPr defaultRowHeight="26.25" x14ac:dyDescent="0.4"/>
  <cols>
    <col min="1" max="1" width="133.5703125" style="1" bestFit="1" customWidth="1"/>
    <col min="2" max="2" width="14.85546875" style="1" bestFit="1" customWidth="1"/>
    <col min="3" max="3" width="135" style="1" bestFit="1" customWidth="1"/>
    <col min="4" max="4" width="58.7109375" style="1" bestFit="1" customWidth="1"/>
    <col min="5" max="5" width="96.7109375" style="1" bestFit="1" customWidth="1"/>
    <col min="6" max="6" width="14.85546875" style="1" bestFit="1" customWidth="1"/>
    <col min="7" max="7" width="22.140625" style="1" bestFit="1" customWidth="1"/>
    <col min="8" max="8" width="53.85546875" style="1" bestFit="1" customWidth="1"/>
    <col min="9" max="9" width="119.140625" style="1" bestFit="1" customWidth="1"/>
    <col min="10" max="10" width="14.85546875" style="1" bestFit="1" customWidth="1"/>
    <col min="11" max="11" width="59.140625" style="1" bestFit="1" customWidth="1"/>
    <col min="12" max="12" width="58.7109375" style="1" bestFit="1" customWidth="1"/>
    <col min="13" max="16384" width="9.140625" style="1"/>
  </cols>
  <sheetData>
    <row r="1" spans="1:18" ht="27" thickBot="1" x14ac:dyDescent="0.45">
      <c r="A1" s="149" t="str">
        <f>"Icy Wilderness (total " &amp; F9 &amp; ")"</f>
        <v>Icy Wilderness (total 35781)</v>
      </c>
      <c r="B1" s="150"/>
      <c r="C1" s="150"/>
      <c r="D1" s="150"/>
      <c r="E1" s="150"/>
      <c r="F1" s="150"/>
      <c r="G1" s="150"/>
      <c r="H1" s="150"/>
      <c r="I1" s="150"/>
      <c r="J1" s="150"/>
      <c r="K1" s="150"/>
      <c r="L1" s="151"/>
      <c r="N1" s="2"/>
      <c r="P1" s="2"/>
      <c r="R1" s="2"/>
    </row>
    <row r="2" spans="1:18" ht="27" thickBot="1" x14ac:dyDescent="0.45">
      <c r="A2" s="117" t="s">
        <v>207</v>
      </c>
      <c r="B2" s="118"/>
      <c r="C2" s="118"/>
      <c r="D2" s="119"/>
      <c r="E2" s="120" t="s">
        <v>228</v>
      </c>
      <c r="F2" s="121"/>
      <c r="G2" s="121"/>
      <c r="H2" s="122"/>
      <c r="I2" s="123" t="s">
        <v>240</v>
      </c>
      <c r="J2" s="124"/>
      <c r="K2" s="124"/>
      <c r="L2" s="125"/>
    </row>
    <row r="3" spans="1:18" ht="27" thickBot="1" x14ac:dyDescent="0.45">
      <c r="A3" s="36" t="s">
        <v>0</v>
      </c>
      <c r="B3" s="37" t="s">
        <v>1</v>
      </c>
      <c r="C3" s="37" t="s">
        <v>19</v>
      </c>
      <c r="D3" s="38" t="s">
        <v>20</v>
      </c>
      <c r="E3" s="52" t="s">
        <v>0</v>
      </c>
      <c r="F3" s="39" t="s">
        <v>1</v>
      </c>
      <c r="G3" s="39" t="s">
        <v>19</v>
      </c>
      <c r="H3" s="40" t="s">
        <v>20</v>
      </c>
      <c r="I3" s="41" t="s">
        <v>0</v>
      </c>
      <c r="J3" s="42" t="s">
        <v>1</v>
      </c>
      <c r="K3" s="42" t="s">
        <v>19</v>
      </c>
      <c r="L3" s="43" t="s">
        <v>20</v>
      </c>
    </row>
    <row r="4" spans="1:18" x14ac:dyDescent="0.4">
      <c r="A4" s="129" t="s">
        <v>458</v>
      </c>
      <c r="B4" s="156"/>
      <c r="C4" s="156"/>
      <c r="D4" s="157"/>
      <c r="E4" s="132" t="s">
        <v>462</v>
      </c>
      <c r="F4" s="133"/>
      <c r="G4" s="133"/>
      <c r="H4" s="133"/>
      <c r="I4" s="134" t="s">
        <v>463</v>
      </c>
      <c r="J4" s="135"/>
      <c r="K4" s="135"/>
      <c r="L4" s="152"/>
    </row>
    <row r="5" spans="1:18" ht="27" thickBot="1" x14ac:dyDescent="0.45">
      <c r="A5" s="10" t="s">
        <v>25</v>
      </c>
      <c r="B5" s="45">
        <v>25</v>
      </c>
      <c r="C5" s="46" t="s">
        <v>2</v>
      </c>
      <c r="D5" s="47" t="s">
        <v>26</v>
      </c>
      <c r="E5" s="53" t="s">
        <v>237</v>
      </c>
      <c r="F5" s="54">
        <v>5631</v>
      </c>
      <c r="G5" s="20" t="s">
        <v>2</v>
      </c>
      <c r="H5" s="21" t="s">
        <v>2</v>
      </c>
      <c r="I5" s="55" t="s">
        <v>243</v>
      </c>
      <c r="J5" s="58">
        <v>80</v>
      </c>
      <c r="K5" s="59" t="s">
        <v>2</v>
      </c>
      <c r="L5" s="60" t="s">
        <v>32</v>
      </c>
    </row>
    <row r="6" spans="1:18" ht="27" thickBot="1" x14ac:dyDescent="0.45">
      <c r="A6" s="13" t="s">
        <v>103</v>
      </c>
      <c r="B6" s="61">
        <v>80</v>
      </c>
      <c r="C6" s="78" t="s">
        <v>2</v>
      </c>
      <c r="D6" s="79" t="s">
        <v>6</v>
      </c>
      <c r="E6" s="100" t="s">
        <v>388</v>
      </c>
      <c r="F6" s="101"/>
      <c r="G6" s="102">
        <f>SUM(F5:F5)</f>
        <v>5631</v>
      </c>
      <c r="H6" s="103"/>
      <c r="I6" s="55" t="s">
        <v>241</v>
      </c>
      <c r="J6" s="58">
        <v>200</v>
      </c>
      <c r="K6" s="59" t="s">
        <v>2</v>
      </c>
      <c r="L6" s="60" t="s">
        <v>242</v>
      </c>
    </row>
    <row r="7" spans="1:18" ht="27" thickBot="1" x14ac:dyDescent="0.45">
      <c r="A7" s="10" t="s">
        <v>388</v>
      </c>
      <c r="B7" s="45"/>
      <c r="C7" s="46">
        <f>B5+B6</f>
        <v>105</v>
      </c>
      <c r="D7" s="47"/>
      <c r="E7" s="53" t="s">
        <v>238</v>
      </c>
      <c r="F7" s="54">
        <f>SUM(F5:F6)</f>
        <v>5631</v>
      </c>
      <c r="G7" s="20"/>
      <c r="H7" s="20"/>
      <c r="I7" s="55" t="s">
        <v>247</v>
      </c>
      <c r="J7" s="58">
        <v>1525</v>
      </c>
      <c r="K7" s="59" t="s">
        <v>2</v>
      </c>
      <c r="L7" s="60" t="s">
        <v>18</v>
      </c>
    </row>
    <row r="8" spans="1:18" x14ac:dyDescent="0.4">
      <c r="A8" s="111" t="s">
        <v>459</v>
      </c>
      <c r="B8" s="112"/>
      <c r="C8" s="112"/>
      <c r="D8" s="113"/>
      <c r="I8" s="55" t="s">
        <v>85</v>
      </c>
      <c r="J8" s="58">
        <v>20</v>
      </c>
      <c r="K8" s="59" t="s">
        <v>2</v>
      </c>
      <c r="L8" s="60" t="s">
        <v>16</v>
      </c>
    </row>
    <row r="9" spans="1:18" x14ac:dyDescent="0.4">
      <c r="A9" s="10" t="s">
        <v>175</v>
      </c>
      <c r="B9" s="45">
        <v>415</v>
      </c>
      <c r="C9" s="46" t="s">
        <v>49</v>
      </c>
      <c r="D9" s="47" t="s">
        <v>2</v>
      </c>
      <c r="E9" s="1" t="s">
        <v>276</v>
      </c>
      <c r="F9" s="1">
        <f>B45+F7+J37</f>
        <v>35781</v>
      </c>
      <c r="I9" s="55" t="s">
        <v>246</v>
      </c>
      <c r="J9" s="58">
        <v>180</v>
      </c>
      <c r="K9" s="59" t="s">
        <v>2</v>
      </c>
      <c r="L9" s="60" t="s">
        <v>214</v>
      </c>
    </row>
    <row r="10" spans="1:18" x14ac:dyDescent="0.4">
      <c r="A10" s="10" t="s">
        <v>209</v>
      </c>
      <c r="B10" s="45">
        <v>130</v>
      </c>
      <c r="C10" s="46" t="s">
        <v>210</v>
      </c>
      <c r="D10" s="47" t="s">
        <v>2</v>
      </c>
      <c r="I10" s="55" t="s">
        <v>244</v>
      </c>
      <c r="J10" s="58">
        <v>75</v>
      </c>
      <c r="K10" s="59" t="s">
        <v>2</v>
      </c>
      <c r="L10" s="60" t="s">
        <v>220</v>
      </c>
    </row>
    <row r="11" spans="1:18" ht="27" thickBot="1" x14ac:dyDescent="0.45">
      <c r="A11" s="13" t="s">
        <v>216</v>
      </c>
      <c r="B11" s="61">
        <v>25</v>
      </c>
      <c r="C11" s="78" t="s">
        <v>6</v>
      </c>
      <c r="D11" s="79" t="s">
        <v>2</v>
      </c>
      <c r="I11" s="56" t="s">
        <v>175</v>
      </c>
      <c r="J11" s="57">
        <v>1073</v>
      </c>
      <c r="K11" s="89" t="s">
        <v>2</v>
      </c>
      <c r="L11" s="90" t="s">
        <v>2</v>
      </c>
    </row>
    <row r="12" spans="1:18" x14ac:dyDescent="0.4">
      <c r="A12" s="10" t="s">
        <v>388</v>
      </c>
      <c r="B12" s="45"/>
      <c r="C12" s="46">
        <f>SUM(B9:B11)</f>
        <v>570</v>
      </c>
      <c r="D12" s="47">
        <f>C7+C12</f>
        <v>675</v>
      </c>
      <c r="I12" s="55" t="s">
        <v>388</v>
      </c>
      <c r="J12" s="58"/>
      <c r="K12" s="59">
        <f>SUM(J5:J11)</f>
        <v>3153</v>
      </c>
      <c r="L12" s="60"/>
    </row>
    <row r="13" spans="1:18" x14ac:dyDescent="0.4">
      <c r="A13" s="111" t="s">
        <v>460</v>
      </c>
      <c r="B13" s="112"/>
      <c r="C13" s="112"/>
      <c r="D13" s="113"/>
      <c r="I13" s="144" t="s">
        <v>464</v>
      </c>
      <c r="J13" s="145"/>
      <c r="K13" s="145"/>
      <c r="L13" s="148"/>
    </row>
    <row r="14" spans="1:18" x14ac:dyDescent="0.4">
      <c r="A14" s="10" t="s">
        <v>129</v>
      </c>
      <c r="B14" s="45">
        <v>100</v>
      </c>
      <c r="C14" s="46" t="s">
        <v>6</v>
      </c>
      <c r="D14" s="47" t="s">
        <v>16</v>
      </c>
      <c r="I14" s="55" t="s">
        <v>241</v>
      </c>
      <c r="J14" s="58">
        <v>400</v>
      </c>
      <c r="K14" s="59" t="s">
        <v>249</v>
      </c>
      <c r="L14" s="60" t="s">
        <v>242</v>
      </c>
    </row>
    <row r="15" spans="1:18" x14ac:dyDescent="0.4">
      <c r="A15" s="10" t="s">
        <v>150</v>
      </c>
      <c r="B15" s="45">
        <v>40</v>
      </c>
      <c r="C15" s="46" t="s">
        <v>6</v>
      </c>
      <c r="D15" s="47" t="s">
        <v>32</v>
      </c>
      <c r="I15" s="55" t="s">
        <v>85</v>
      </c>
      <c r="J15" s="58">
        <v>20</v>
      </c>
      <c r="K15" s="59" t="s">
        <v>249</v>
      </c>
      <c r="L15" s="60" t="s">
        <v>16</v>
      </c>
    </row>
    <row r="16" spans="1:18" x14ac:dyDescent="0.4">
      <c r="A16" s="10" t="s">
        <v>520</v>
      </c>
      <c r="B16" s="45">
        <f>210+20</f>
        <v>230</v>
      </c>
      <c r="C16" s="46" t="s">
        <v>6</v>
      </c>
      <c r="D16" s="47" t="s">
        <v>214</v>
      </c>
      <c r="I16" s="55" t="s">
        <v>522</v>
      </c>
      <c r="J16" s="58">
        <v>45</v>
      </c>
      <c r="K16" s="59" t="s">
        <v>249</v>
      </c>
      <c r="L16" s="60" t="s">
        <v>32</v>
      </c>
    </row>
    <row r="17" spans="1:12" x14ac:dyDescent="0.4">
      <c r="A17" s="10" t="s">
        <v>219</v>
      </c>
      <c r="B17" s="45">
        <v>50</v>
      </c>
      <c r="C17" s="46" t="s">
        <v>6</v>
      </c>
      <c r="D17" s="47" t="s">
        <v>220</v>
      </c>
      <c r="I17" s="55" t="s">
        <v>250</v>
      </c>
      <c r="J17" s="58">
        <v>60</v>
      </c>
      <c r="K17" s="59" t="s">
        <v>249</v>
      </c>
      <c r="L17" s="60" t="s">
        <v>214</v>
      </c>
    </row>
    <row r="18" spans="1:12" ht="27" thickBot="1" x14ac:dyDescent="0.45">
      <c r="A18" s="13" t="s">
        <v>519</v>
      </c>
      <c r="B18" s="61">
        <f>3837+1036</f>
        <v>4873</v>
      </c>
      <c r="C18" s="78" t="s">
        <v>6</v>
      </c>
      <c r="D18" s="79" t="s">
        <v>2</v>
      </c>
      <c r="I18" s="56" t="s">
        <v>175</v>
      </c>
      <c r="J18" s="57">
        <v>683</v>
      </c>
      <c r="K18" s="89" t="s">
        <v>249</v>
      </c>
      <c r="L18" s="90" t="s">
        <v>2</v>
      </c>
    </row>
    <row r="19" spans="1:12" x14ac:dyDescent="0.4">
      <c r="A19" s="10" t="s">
        <v>388</v>
      </c>
      <c r="B19" s="45"/>
      <c r="C19" s="46">
        <f>SUM(B14:B18)</f>
        <v>5293</v>
      </c>
      <c r="D19" s="47">
        <f>D12+C19</f>
        <v>5968</v>
      </c>
      <c r="I19" s="55" t="s">
        <v>388</v>
      </c>
      <c r="J19" s="58"/>
      <c r="K19" s="59">
        <f>SUM(J14:J18)</f>
        <v>1208</v>
      </c>
      <c r="L19" s="60">
        <f>K12+K19</f>
        <v>4361</v>
      </c>
    </row>
    <row r="20" spans="1:12" x14ac:dyDescent="0.4">
      <c r="A20" s="111" t="s">
        <v>532</v>
      </c>
      <c r="B20" s="112"/>
      <c r="C20" s="112"/>
      <c r="D20" s="113"/>
      <c r="I20" s="144" t="s">
        <v>465</v>
      </c>
      <c r="J20" s="145"/>
      <c r="K20" s="145"/>
      <c r="L20" s="148"/>
    </row>
    <row r="21" spans="1:12" x14ac:dyDescent="0.4">
      <c r="A21" s="48" t="s">
        <v>129</v>
      </c>
      <c r="B21" s="45">
        <v>20</v>
      </c>
      <c r="C21" s="46" t="s">
        <v>221</v>
      </c>
      <c r="D21" s="47" t="s">
        <v>16</v>
      </c>
      <c r="I21" s="55" t="s">
        <v>241</v>
      </c>
      <c r="J21" s="58">
        <v>225</v>
      </c>
      <c r="K21" s="59" t="s">
        <v>254</v>
      </c>
      <c r="L21" s="60" t="s">
        <v>242</v>
      </c>
    </row>
    <row r="22" spans="1:12" x14ac:dyDescent="0.4">
      <c r="A22" s="48" t="s">
        <v>222</v>
      </c>
      <c r="B22" s="45">
        <v>20</v>
      </c>
      <c r="C22" s="46" t="s">
        <v>221</v>
      </c>
      <c r="D22" s="47" t="s">
        <v>214</v>
      </c>
      <c r="I22" s="55" t="s">
        <v>245</v>
      </c>
      <c r="J22" s="58">
        <v>50</v>
      </c>
      <c r="K22" s="59" t="s">
        <v>254</v>
      </c>
      <c r="L22" s="60" t="s">
        <v>18</v>
      </c>
    </row>
    <row r="23" spans="1:12" x14ac:dyDescent="0.4">
      <c r="A23" s="48" t="s">
        <v>37</v>
      </c>
      <c r="B23" s="45">
        <v>271</v>
      </c>
      <c r="C23" s="46" t="s">
        <v>221</v>
      </c>
      <c r="D23" s="47" t="s">
        <v>2</v>
      </c>
      <c r="I23" s="55" t="s">
        <v>256</v>
      </c>
      <c r="J23" s="58">
        <f>59871-59846</f>
        <v>25</v>
      </c>
      <c r="K23" s="59" t="s">
        <v>254</v>
      </c>
      <c r="L23" s="60" t="s">
        <v>77</v>
      </c>
    </row>
    <row r="24" spans="1:12" x14ac:dyDescent="0.4">
      <c r="A24" s="48" t="s">
        <v>223</v>
      </c>
      <c r="B24" s="45">
        <v>11</v>
      </c>
      <c r="C24" s="46" t="s">
        <v>224</v>
      </c>
      <c r="D24" s="47" t="s">
        <v>2</v>
      </c>
      <c r="I24" s="55" t="s">
        <v>129</v>
      </c>
      <c r="J24" s="58">
        <v>80</v>
      </c>
      <c r="K24" s="59" t="s">
        <v>254</v>
      </c>
      <c r="L24" s="60" t="s">
        <v>16</v>
      </c>
    </row>
    <row r="25" spans="1:12" x14ac:dyDescent="0.4">
      <c r="A25" s="48" t="s">
        <v>227</v>
      </c>
      <c r="B25" s="45">
        <v>25</v>
      </c>
      <c r="C25" s="46" t="s">
        <v>225</v>
      </c>
      <c r="D25" s="47" t="s">
        <v>214</v>
      </c>
      <c r="I25" s="55" t="s">
        <v>160</v>
      </c>
      <c r="J25" s="58">
        <v>20</v>
      </c>
      <c r="K25" s="59" t="s">
        <v>254</v>
      </c>
      <c r="L25" s="60" t="s">
        <v>14</v>
      </c>
    </row>
    <row r="26" spans="1:12" ht="27" thickBot="1" x14ac:dyDescent="0.45">
      <c r="A26" s="80" t="s">
        <v>226</v>
      </c>
      <c r="B26" s="61">
        <v>630</v>
      </c>
      <c r="C26" s="78" t="s">
        <v>225</v>
      </c>
      <c r="D26" s="79" t="s">
        <v>2</v>
      </c>
      <c r="I26" s="55" t="s">
        <v>255</v>
      </c>
      <c r="J26" s="58">
        <v>241</v>
      </c>
      <c r="K26" s="59" t="s">
        <v>254</v>
      </c>
      <c r="L26" s="60" t="s">
        <v>214</v>
      </c>
    </row>
    <row r="27" spans="1:12" x14ac:dyDescent="0.4">
      <c r="A27" s="48" t="s">
        <v>388</v>
      </c>
      <c r="B27" s="45"/>
      <c r="C27" s="46">
        <f>SUM(B21:B26)</f>
        <v>977</v>
      </c>
      <c r="D27" s="47">
        <f>D19+C27</f>
        <v>6945</v>
      </c>
      <c r="I27" s="55" t="s">
        <v>516</v>
      </c>
      <c r="J27" s="58">
        <f>7075+1630</f>
        <v>8705</v>
      </c>
      <c r="K27" s="59" t="s">
        <v>254</v>
      </c>
      <c r="L27" s="60" t="s">
        <v>2</v>
      </c>
    </row>
    <row r="28" spans="1:12" ht="27" thickBot="1" x14ac:dyDescent="0.45">
      <c r="A28" s="153" t="str">
        <f>_xlfn._LONGTEXT("---------------------------------------------------------------------------------------------------------------------------------------------------------------------------------------------------------------------------------------------------------------","-----------------------------------------")</f>
        <v>--------------------------------------------------------------------------------------------------------------------------------------------------------------------------------------------------------------------------------------------------------------------------------------------------------</v>
      </c>
      <c r="B28" s="154"/>
      <c r="C28" s="154"/>
      <c r="D28" s="155"/>
      <c r="I28" s="56" t="s">
        <v>510</v>
      </c>
      <c r="J28" s="57">
        <f>1500+615</f>
        <v>2115</v>
      </c>
      <c r="K28" s="89" t="s">
        <v>254</v>
      </c>
      <c r="L28" s="90" t="s">
        <v>502</v>
      </c>
    </row>
    <row r="29" spans="1:12" x14ac:dyDescent="0.4">
      <c r="A29" s="111" t="s">
        <v>470</v>
      </c>
      <c r="B29" s="112"/>
      <c r="C29" s="112"/>
      <c r="D29" s="113"/>
      <c r="I29" s="55" t="s">
        <v>388</v>
      </c>
      <c r="J29" s="58"/>
      <c r="K29" s="59">
        <f>SUM(J21:J28)</f>
        <v>11461</v>
      </c>
      <c r="L29" s="60">
        <f>L19+K29</f>
        <v>15822</v>
      </c>
    </row>
    <row r="30" spans="1:12" x14ac:dyDescent="0.4">
      <c r="A30" s="48" t="s">
        <v>270</v>
      </c>
      <c r="B30" s="45">
        <v>20</v>
      </c>
      <c r="C30" s="46" t="s">
        <v>534</v>
      </c>
      <c r="D30" s="47" t="s">
        <v>536</v>
      </c>
      <c r="I30" s="144" t="s">
        <v>469</v>
      </c>
      <c r="J30" s="145"/>
      <c r="K30" s="145"/>
      <c r="L30" s="148"/>
    </row>
    <row r="31" spans="1:12" ht="27" thickBot="1" x14ac:dyDescent="0.45">
      <c r="A31" s="80" t="s">
        <v>521</v>
      </c>
      <c r="B31" s="61">
        <f>1553+175</f>
        <v>1728</v>
      </c>
      <c r="C31" s="78" t="s">
        <v>534</v>
      </c>
      <c r="D31" s="79" t="s">
        <v>2</v>
      </c>
      <c r="I31" s="55" t="s">
        <v>129</v>
      </c>
      <c r="J31" s="58">
        <v>20</v>
      </c>
      <c r="K31" s="59" t="s">
        <v>559</v>
      </c>
      <c r="L31" s="60" t="s">
        <v>16</v>
      </c>
    </row>
    <row r="32" spans="1:12" ht="27" thickBot="1" x14ac:dyDescent="0.45">
      <c r="A32" s="48" t="s">
        <v>388</v>
      </c>
      <c r="B32" s="45"/>
      <c r="C32" s="46">
        <f>SUM(B30:B31)</f>
        <v>1748</v>
      </c>
      <c r="D32" s="47"/>
      <c r="I32" s="56" t="s">
        <v>255</v>
      </c>
      <c r="J32" s="57">
        <v>60</v>
      </c>
      <c r="K32" s="89" t="s">
        <v>559</v>
      </c>
      <c r="L32" s="90" t="s">
        <v>214</v>
      </c>
    </row>
    <row r="33" spans="1:12" x14ac:dyDescent="0.4">
      <c r="A33" s="111" t="s">
        <v>471</v>
      </c>
      <c r="B33" s="112"/>
      <c r="C33" s="112"/>
      <c r="D33" s="113"/>
      <c r="I33" s="55" t="s">
        <v>388</v>
      </c>
      <c r="J33" s="58"/>
      <c r="K33" s="59">
        <f>J31+J32</f>
        <v>80</v>
      </c>
      <c r="L33" s="60">
        <f>L29+K33</f>
        <v>15902</v>
      </c>
    </row>
    <row r="34" spans="1:12" ht="27" thickBot="1" x14ac:dyDescent="0.45">
      <c r="A34" s="80" t="s">
        <v>544</v>
      </c>
      <c r="B34" s="61">
        <v>40</v>
      </c>
      <c r="C34" s="78" t="s">
        <v>371</v>
      </c>
      <c r="D34" s="79" t="s">
        <v>536</v>
      </c>
      <c r="I34" s="144" t="s">
        <v>466</v>
      </c>
      <c r="J34" s="145"/>
      <c r="K34" s="145"/>
      <c r="L34" s="148"/>
    </row>
    <row r="35" spans="1:12" ht="27" thickBot="1" x14ac:dyDescent="0.45">
      <c r="A35" s="48" t="s">
        <v>388</v>
      </c>
      <c r="B35" s="45"/>
      <c r="C35" s="46">
        <f>B34</f>
        <v>40</v>
      </c>
      <c r="D35" s="47">
        <f>C32+C35</f>
        <v>1788</v>
      </c>
      <c r="I35" s="56" t="s">
        <v>266</v>
      </c>
      <c r="J35" s="57">
        <f>73352-68852</f>
        <v>4500</v>
      </c>
      <c r="K35" s="89" t="s">
        <v>262</v>
      </c>
      <c r="L35" s="90" t="s">
        <v>2</v>
      </c>
    </row>
    <row r="36" spans="1:12" ht="27" thickBot="1" x14ac:dyDescent="0.45">
      <c r="A36" s="111" t="s">
        <v>545</v>
      </c>
      <c r="B36" s="112"/>
      <c r="C36" s="112"/>
      <c r="D36" s="113"/>
      <c r="I36" s="25" t="s">
        <v>388</v>
      </c>
      <c r="J36" s="26"/>
      <c r="K36" s="26">
        <f>J35+L33</f>
        <v>20402</v>
      </c>
      <c r="L36" s="27"/>
    </row>
    <row r="37" spans="1:12" ht="27" thickBot="1" x14ac:dyDescent="0.45">
      <c r="A37" s="48" t="s">
        <v>265</v>
      </c>
      <c r="B37" s="45">
        <v>180</v>
      </c>
      <c r="C37" s="46" t="s">
        <v>538</v>
      </c>
      <c r="D37" s="47" t="s">
        <v>2</v>
      </c>
      <c r="I37" s="56" t="s">
        <v>239</v>
      </c>
      <c r="J37" s="57">
        <f>SUM(J5:J35)</f>
        <v>20402</v>
      </c>
      <c r="K37" s="26"/>
      <c r="L37" s="27"/>
    </row>
    <row r="38" spans="1:12" x14ac:dyDescent="0.4">
      <c r="A38" s="48" t="s">
        <v>544</v>
      </c>
      <c r="B38" s="45">
        <v>40</v>
      </c>
      <c r="C38" s="46" t="s">
        <v>538</v>
      </c>
      <c r="D38" s="47" t="s">
        <v>536</v>
      </c>
    </row>
    <row r="39" spans="1:12" ht="27" thickBot="1" x14ac:dyDescent="0.45">
      <c r="A39" s="13" t="s">
        <v>547</v>
      </c>
      <c r="B39" s="61">
        <v>200</v>
      </c>
      <c r="C39" s="78" t="s">
        <v>539</v>
      </c>
      <c r="D39" s="79" t="s">
        <v>2</v>
      </c>
    </row>
    <row r="40" spans="1:12" x14ac:dyDescent="0.4">
      <c r="A40" s="48" t="s">
        <v>388</v>
      </c>
      <c r="B40" s="45"/>
      <c r="C40" s="46">
        <f>SUM(B37:B39)</f>
        <v>420</v>
      </c>
      <c r="D40" s="47">
        <f>D35+C40</f>
        <v>2208</v>
      </c>
    </row>
    <row r="41" spans="1:12" x14ac:dyDescent="0.4">
      <c r="A41" s="111" t="s">
        <v>546</v>
      </c>
      <c r="B41" s="112"/>
      <c r="C41" s="112"/>
      <c r="D41" s="113"/>
    </row>
    <row r="42" spans="1:12" x14ac:dyDescent="0.4">
      <c r="A42" s="48" t="s">
        <v>175</v>
      </c>
      <c r="B42" s="45">
        <f>295+75</f>
        <v>370</v>
      </c>
      <c r="C42" s="46" t="s">
        <v>542</v>
      </c>
      <c r="D42" s="47" t="s">
        <v>2</v>
      </c>
    </row>
    <row r="43" spans="1:12" ht="27" thickBot="1" x14ac:dyDescent="0.45">
      <c r="A43" s="80" t="s">
        <v>475</v>
      </c>
      <c r="B43" s="61">
        <v>225</v>
      </c>
      <c r="C43" s="78" t="s">
        <v>543</v>
      </c>
      <c r="D43" s="79" t="s">
        <v>2</v>
      </c>
    </row>
    <row r="44" spans="1:12" ht="27" thickBot="1" x14ac:dyDescent="0.45">
      <c r="A44" s="81" t="s">
        <v>388</v>
      </c>
      <c r="B44" s="82"/>
      <c r="C44" s="77">
        <f>SUM(B42:B43)</f>
        <v>595</v>
      </c>
      <c r="D44" s="83">
        <f>D40+C44</f>
        <v>2803</v>
      </c>
    </row>
    <row r="45" spans="1:12" ht="27" thickBot="1" x14ac:dyDescent="0.45">
      <c r="A45" s="13" t="s">
        <v>208</v>
      </c>
      <c r="B45" s="14">
        <f>SUM(B5:B43)</f>
        <v>9748</v>
      </c>
      <c r="C45" s="14"/>
      <c r="D45" s="15"/>
    </row>
    <row r="51" spans="5:8" x14ac:dyDescent="0.4">
      <c r="E51" s="6"/>
      <c r="F51" s="6"/>
      <c r="G51" s="6"/>
      <c r="H51" s="6"/>
    </row>
    <row r="75" spans="1:12" x14ac:dyDescent="0.4">
      <c r="A75" s="6"/>
      <c r="B75" s="6"/>
      <c r="C75" s="6"/>
      <c r="D75" s="6"/>
    </row>
    <row r="76" spans="1:12" x14ac:dyDescent="0.4">
      <c r="I76" s="6"/>
      <c r="J76" s="6"/>
      <c r="K76" s="6"/>
      <c r="L76" s="6"/>
    </row>
    <row r="77" spans="1:12" x14ac:dyDescent="0.4">
      <c r="A77" s="1" t="s">
        <v>99</v>
      </c>
      <c r="B77" s="1">
        <f>SUM(B5:B75)</f>
        <v>19496</v>
      </c>
    </row>
    <row r="78" spans="1:12" x14ac:dyDescent="0.4">
      <c r="I78" s="1" t="s">
        <v>171</v>
      </c>
      <c r="J78" s="1">
        <f>SUM(J5:J59)</f>
        <v>40804</v>
      </c>
    </row>
    <row r="79" spans="1:12" x14ac:dyDescent="0.4">
      <c r="A79" s="1" t="s">
        <v>204</v>
      </c>
      <c r="B79" s="1">
        <f>B77+F53+J78</f>
        <v>60300</v>
      </c>
      <c r="C79" s="3"/>
      <c r="D79" s="3"/>
    </row>
    <row r="80" spans="1:12" x14ac:dyDescent="0.4">
      <c r="A80" s="1" t="s">
        <v>205</v>
      </c>
      <c r="B80" s="1">
        <f>'Dragon Kingdom'!F36+B79</f>
        <v>82247</v>
      </c>
    </row>
    <row r="83" spans="1:4" x14ac:dyDescent="0.4">
      <c r="A83" s="146"/>
      <c r="B83" s="146"/>
      <c r="C83" s="146"/>
      <c r="D83" s="146"/>
    </row>
    <row r="86" spans="1:4" x14ac:dyDescent="0.4">
      <c r="A86" s="146"/>
      <c r="B86" s="146"/>
      <c r="C86" s="146"/>
      <c r="D86" s="146"/>
    </row>
    <row r="89" spans="1:4" x14ac:dyDescent="0.4">
      <c r="A89" s="146"/>
      <c r="B89" s="146"/>
      <c r="C89" s="146"/>
      <c r="D89" s="146"/>
    </row>
  </sheetData>
  <sortState xmlns:xlrd2="http://schemas.microsoft.com/office/spreadsheetml/2017/richdata2" ref="I21:L28">
    <sortCondition ref="K21:K28"/>
    <sortCondition ref="L21:L28"/>
  </sortState>
  <mergeCells count="22">
    <mergeCell ref="A41:D41"/>
    <mergeCell ref="A83:D83"/>
    <mergeCell ref="A86:D86"/>
    <mergeCell ref="A89:D89"/>
    <mergeCell ref="A29:D29"/>
    <mergeCell ref="I30:L30"/>
    <mergeCell ref="A33:D33"/>
    <mergeCell ref="I34:L34"/>
    <mergeCell ref="A36:D36"/>
    <mergeCell ref="A28:D28"/>
    <mergeCell ref="A1:L1"/>
    <mergeCell ref="A2:D2"/>
    <mergeCell ref="E2:H2"/>
    <mergeCell ref="I2:L2"/>
    <mergeCell ref="A4:D4"/>
    <mergeCell ref="E4:H4"/>
    <mergeCell ref="I4:L4"/>
    <mergeCell ref="A8:D8"/>
    <mergeCell ref="A13:D13"/>
    <mergeCell ref="I13:L13"/>
    <mergeCell ref="I20:L20"/>
    <mergeCell ref="A20:D20"/>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13A48-D0E6-437E-885A-16D642B74C3D}">
  <dimension ref="A1:T75"/>
  <sheetViews>
    <sheetView tabSelected="1" topLeftCell="E1" zoomScale="55" zoomScaleNormal="55" workbookViewId="0">
      <selection activeCell="O14" sqref="O14"/>
    </sheetView>
  </sheetViews>
  <sheetFormatPr defaultRowHeight="26.25" x14ac:dyDescent="0.4"/>
  <cols>
    <col min="1" max="1" width="118.28515625" style="1" bestFit="1" customWidth="1"/>
    <col min="2" max="2" width="17.85546875" style="1" bestFit="1" customWidth="1"/>
    <col min="3" max="3" width="36" style="1" bestFit="1" customWidth="1"/>
    <col min="4" max="4" width="57.42578125" style="1" bestFit="1" customWidth="1"/>
    <col min="5" max="5" width="92.7109375" style="1" bestFit="1" customWidth="1"/>
    <col min="6" max="6" width="14.42578125" style="1" customWidth="1"/>
    <col min="7" max="7" width="44.28515625" style="1" bestFit="1" customWidth="1"/>
    <col min="8" max="8" width="58.7109375" style="1" bestFit="1" customWidth="1"/>
    <col min="9" max="9" width="84.42578125" style="1" bestFit="1" customWidth="1"/>
    <col min="10" max="10" width="14.42578125" style="1" bestFit="1" customWidth="1"/>
    <col min="11" max="11" width="50.7109375" style="1" bestFit="1" customWidth="1"/>
    <col min="12" max="12" width="49.140625" style="1" bestFit="1" customWidth="1"/>
    <col min="13" max="13" width="100.7109375" style="1" bestFit="1" customWidth="1"/>
    <col min="14" max="14" width="14.42578125" style="1" bestFit="1" customWidth="1"/>
    <col min="15" max="15" width="46.85546875" style="1" bestFit="1" customWidth="1"/>
    <col min="16" max="16" width="43.5703125" style="1" bestFit="1" customWidth="1"/>
    <col min="17" max="17" width="44.85546875" style="1" bestFit="1" customWidth="1"/>
    <col min="18" max="18" width="14.85546875" style="1" bestFit="1" customWidth="1"/>
    <col min="19" max="19" width="21" style="1" bestFit="1" customWidth="1"/>
    <col min="20" max="20" width="25.5703125" style="1" bestFit="1" customWidth="1"/>
    <col min="21" max="22" width="12" style="1" bestFit="1" customWidth="1"/>
    <col min="23" max="16384" width="9.140625" style="1"/>
  </cols>
  <sheetData>
    <row r="1" spans="1:20" ht="27" thickBot="1" x14ac:dyDescent="0.45">
      <c r="A1" s="114" t="str">
        <f>"Volcanic Isle (total " &amp; F27 &amp; ")"</f>
        <v>Volcanic Isle (total 49306)</v>
      </c>
      <c r="B1" s="115"/>
      <c r="C1" s="115"/>
      <c r="D1" s="115"/>
      <c r="E1" s="115"/>
      <c r="F1" s="115"/>
      <c r="G1" s="115"/>
      <c r="H1" s="115"/>
      <c r="I1" s="115"/>
      <c r="J1" s="115"/>
      <c r="K1" s="115"/>
      <c r="L1" s="115"/>
      <c r="M1" s="115"/>
      <c r="N1" s="115"/>
      <c r="O1" s="115"/>
      <c r="P1" s="115"/>
      <c r="Q1" s="115"/>
      <c r="R1" s="115"/>
      <c r="S1" s="115"/>
      <c r="T1" s="116"/>
    </row>
    <row r="2" spans="1:20" ht="27" thickBot="1" x14ac:dyDescent="0.45">
      <c r="A2" s="117" t="s">
        <v>277</v>
      </c>
      <c r="B2" s="118"/>
      <c r="C2" s="118"/>
      <c r="D2" s="119"/>
      <c r="E2" s="120" t="s">
        <v>291</v>
      </c>
      <c r="F2" s="121"/>
      <c r="G2" s="121"/>
      <c r="H2" s="122"/>
      <c r="I2" s="123" t="s">
        <v>323</v>
      </c>
      <c r="J2" s="124"/>
      <c r="K2" s="124"/>
      <c r="L2" s="125"/>
      <c r="M2" s="126" t="s">
        <v>327</v>
      </c>
      <c r="N2" s="127"/>
      <c r="O2" s="127"/>
      <c r="P2" s="128"/>
      <c r="Q2" s="117" t="s">
        <v>350</v>
      </c>
      <c r="R2" s="118"/>
      <c r="S2" s="118"/>
      <c r="T2" s="119"/>
    </row>
    <row r="3" spans="1:20" ht="27" thickBot="1" x14ac:dyDescent="0.45">
      <c r="A3" s="7" t="s">
        <v>0</v>
      </c>
      <c r="B3" s="8" t="s">
        <v>1</v>
      </c>
      <c r="C3" s="8" t="s">
        <v>19</v>
      </c>
      <c r="D3" s="9" t="s">
        <v>20</v>
      </c>
      <c r="E3" s="44" t="s">
        <v>0</v>
      </c>
      <c r="F3" s="28" t="s">
        <v>1</v>
      </c>
      <c r="G3" s="28" t="s">
        <v>19</v>
      </c>
      <c r="H3" s="29" t="s">
        <v>20</v>
      </c>
      <c r="I3" s="33" t="s">
        <v>0</v>
      </c>
      <c r="J3" s="34" t="s">
        <v>1</v>
      </c>
      <c r="K3" s="34" t="s">
        <v>19</v>
      </c>
      <c r="L3" s="35" t="s">
        <v>20</v>
      </c>
      <c r="M3" s="62" t="s">
        <v>0</v>
      </c>
      <c r="N3" s="63" t="s">
        <v>1</v>
      </c>
      <c r="O3" s="63" t="s">
        <v>19</v>
      </c>
      <c r="P3" s="64" t="s">
        <v>20</v>
      </c>
      <c r="Q3" s="7" t="s">
        <v>0</v>
      </c>
      <c r="R3" s="8" t="s">
        <v>1</v>
      </c>
      <c r="S3" s="8" t="s">
        <v>19</v>
      </c>
      <c r="T3" s="9" t="s">
        <v>20</v>
      </c>
    </row>
    <row r="4" spans="1:20" x14ac:dyDescent="0.4">
      <c r="A4" s="129" t="s">
        <v>477</v>
      </c>
      <c r="B4" s="130"/>
      <c r="C4" s="130"/>
      <c r="D4" s="131"/>
      <c r="E4" s="132" t="s">
        <v>480</v>
      </c>
      <c r="F4" s="133"/>
      <c r="G4" s="133"/>
      <c r="H4" s="133"/>
      <c r="I4" s="134" t="s">
        <v>493</v>
      </c>
      <c r="J4" s="135"/>
      <c r="K4" s="135"/>
      <c r="L4" s="135"/>
      <c r="M4" s="136" t="s">
        <v>487</v>
      </c>
      <c r="N4" s="137"/>
      <c r="O4" s="137"/>
      <c r="P4" s="138"/>
      <c r="Q4" s="129" t="s">
        <v>492</v>
      </c>
      <c r="R4" s="130"/>
      <c r="S4" s="130"/>
      <c r="T4" s="131"/>
    </row>
    <row r="5" spans="1:20" ht="27" thickBot="1" x14ac:dyDescent="0.45">
      <c r="A5" s="48" t="s">
        <v>243</v>
      </c>
      <c r="B5" s="45">
        <v>80</v>
      </c>
      <c r="C5" s="46" t="s">
        <v>2</v>
      </c>
      <c r="D5" s="47" t="s">
        <v>32</v>
      </c>
      <c r="E5" s="30" t="s">
        <v>293</v>
      </c>
      <c r="F5" s="31">
        <v>50</v>
      </c>
      <c r="G5" s="32" t="s">
        <v>2</v>
      </c>
      <c r="H5" s="32" t="s">
        <v>242</v>
      </c>
      <c r="I5" s="55" t="s">
        <v>313</v>
      </c>
      <c r="J5" s="58">
        <v>25</v>
      </c>
      <c r="K5" s="59" t="s">
        <v>32</v>
      </c>
      <c r="L5" s="59" t="s">
        <v>18</v>
      </c>
      <c r="M5" s="65" t="s">
        <v>332</v>
      </c>
      <c r="N5" s="66">
        <v>100</v>
      </c>
      <c r="O5" s="67" t="s">
        <v>2</v>
      </c>
      <c r="P5" s="68" t="s">
        <v>32</v>
      </c>
      <c r="Q5" s="80" t="s">
        <v>265</v>
      </c>
      <c r="R5" s="61">
        <v>1083</v>
      </c>
      <c r="S5" s="78" t="s">
        <v>2</v>
      </c>
      <c r="T5" s="79" t="s">
        <v>2</v>
      </c>
    </row>
    <row r="6" spans="1:20" x14ac:dyDescent="0.4">
      <c r="A6" s="48" t="s">
        <v>29</v>
      </c>
      <c r="B6" s="45">
        <v>350</v>
      </c>
      <c r="C6" s="46" t="s">
        <v>2</v>
      </c>
      <c r="D6" s="47" t="s">
        <v>30</v>
      </c>
      <c r="E6" s="30" t="s">
        <v>294</v>
      </c>
      <c r="F6" s="31">
        <v>500</v>
      </c>
      <c r="G6" s="32" t="s">
        <v>2</v>
      </c>
      <c r="H6" s="32" t="s">
        <v>18</v>
      </c>
      <c r="I6" s="55" t="s">
        <v>318</v>
      </c>
      <c r="J6" s="58">
        <v>20</v>
      </c>
      <c r="K6" s="59" t="s">
        <v>32</v>
      </c>
      <c r="L6" s="59" t="s">
        <v>16</v>
      </c>
      <c r="M6" s="65" t="s">
        <v>337</v>
      </c>
      <c r="N6" s="66">
        <v>60</v>
      </c>
      <c r="O6" s="67" t="s">
        <v>2</v>
      </c>
      <c r="P6" s="68" t="s">
        <v>529</v>
      </c>
      <c r="Q6" s="48" t="s">
        <v>388</v>
      </c>
      <c r="R6" s="45"/>
      <c r="S6" s="46">
        <f>R5</f>
        <v>1083</v>
      </c>
      <c r="T6" s="47"/>
    </row>
    <row r="7" spans="1:20" x14ac:dyDescent="0.4">
      <c r="A7" s="48" t="s">
        <v>281</v>
      </c>
      <c r="B7" s="45">
        <v>30</v>
      </c>
      <c r="C7" s="46" t="s">
        <v>2</v>
      </c>
      <c r="D7" s="47" t="s">
        <v>6</v>
      </c>
      <c r="E7" s="30" t="s">
        <v>175</v>
      </c>
      <c r="F7" s="31">
        <v>572</v>
      </c>
      <c r="G7" s="32" t="s">
        <v>2</v>
      </c>
      <c r="H7" s="32" t="s">
        <v>2</v>
      </c>
      <c r="I7" s="55" t="s">
        <v>526</v>
      </c>
      <c r="J7" s="58">
        <v>200</v>
      </c>
      <c r="K7" s="59" t="s">
        <v>32</v>
      </c>
      <c r="L7" s="59" t="s">
        <v>2</v>
      </c>
      <c r="M7" s="65" t="s">
        <v>530</v>
      </c>
      <c r="N7" s="66">
        <v>150</v>
      </c>
      <c r="O7" s="67" t="s">
        <v>2</v>
      </c>
      <c r="P7" s="68" t="s">
        <v>242</v>
      </c>
      <c r="Q7" s="111" t="s">
        <v>495</v>
      </c>
      <c r="R7" s="112"/>
      <c r="S7" s="112"/>
      <c r="T7" s="113"/>
    </row>
    <row r="8" spans="1:20" ht="27" thickBot="1" x14ac:dyDescent="0.45">
      <c r="A8" s="48" t="s">
        <v>27</v>
      </c>
      <c r="B8" s="45">
        <v>300</v>
      </c>
      <c r="C8" s="46" t="s">
        <v>2</v>
      </c>
      <c r="D8" s="47" t="s">
        <v>28</v>
      </c>
      <c r="E8" s="53" t="s">
        <v>295</v>
      </c>
      <c r="F8" s="54">
        <v>1500</v>
      </c>
      <c r="G8" s="84" t="s">
        <v>2</v>
      </c>
      <c r="H8" s="85" t="s">
        <v>69</v>
      </c>
      <c r="I8" s="55" t="s">
        <v>525</v>
      </c>
      <c r="J8" s="58">
        <v>525</v>
      </c>
      <c r="K8" s="59" t="s">
        <v>18</v>
      </c>
      <c r="L8" s="59" t="s">
        <v>2</v>
      </c>
      <c r="M8" s="65" t="s">
        <v>330</v>
      </c>
      <c r="N8" s="66">
        <v>75</v>
      </c>
      <c r="O8" s="67" t="s">
        <v>2</v>
      </c>
      <c r="P8" s="68" t="s">
        <v>214</v>
      </c>
      <c r="Q8" s="48" t="s">
        <v>265</v>
      </c>
      <c r="R8" s="45">
        <v>680</v>
      </c>
      <c r="S8" s="46" t="s">
        <v>2</v>
      </c>
      <c r="T8" s="47" t="s">
        <v>2</v>
      </c>
    </row>
    <row r="9" spans="1:20" ht="27" thickBot="1" x14ac:dyDescent="0.45">
      <c r="A9" s="48" t="s">
        <v>241</v>
      </c>
      <c r="B9" s="45">
        <v>375</v>
      </c>
      <c r="C9" s="46" t="s">
        <v>2</v>
      </c>
      <c r="D9" s="47" t="s">
        <v>242</v>
      </c>
      <c r="E9" s="30" t="s">
        <v>388</v>
      </c>
      <c r="F9" s="31"/>
      <c r="G9" s="32">
        <f>SUM(F5:F8)</f>
        <v>2622</v>
      </c>
      <c r="H9" s="32"/>
      <c r="I9" s="55" t="s">
        <v>319</v>
      </c>
      <c r="J9" s="58">
        <v>40</v>
      </c>
      <c r="K9" s="59" t="s">
        <v>16</v>
      </c>
      <c r="L9" s="59" t="s">
        <v>2</v>
      </c>
      <c r="M9" s="97" t="s">
        <v>265</v>
      </c>
      <c r="N9" s="73">
        <f>690+50</f>
        <v>740</v>
      </c>
      <c r="O9" s="98" t="s">
        <v>2</v>
      </c>
      <c r="P9" s="99" t="s">
        <v>2</v>
      </c>
      <c r="Q9" s="80" t="s">
        <v>354</v>
      </c>
      <c r="R9" s="61">
        <v>70</v>
      </c>
      <c r="S9" s="78" t="s">
        <v>18</v>
      </c>
      <c r="T9" s="79" t="s">
        <v>2</v>
      </c>
    </row>
    <row r="10" spans="1:20" x14ac:dyDescent="0.4">
      <c r="A10" s="48" t="s">
        <v>280</v>
      </c>
      <c r="B10" s="45">
        <v>1000</v>
      </c>
      <c r="C10" s="46" t="s">
        <v>2</v>
      </c>
      <c r="D10" s="47" t="s">
        <v>18</v>
      </c>
      <c r="E10" s="139" t="s">
        <v>533</v>
      </c>
      <c r="F10" s="140"/>
      <c r="G10" s="140"/>
      <c r="H10" s="140"/>
      <c r="I10" s="55" t="s">
        <v>269</v>
      </c>
      <c r="J10" s="58">
        <v>20</v>
      </c>
      <c r="K10" s="59" t="s">
        <v>214</v>
      </c>
      <c r="L10" s="59" t="s">
        <v>2</v>
      </c>
      <c r="M10" s="65" t="s">
        <v>388</v>
      </c>
      <c r="N10" s="66"/>
      <c r="O10" s="67">
        <f>SUM(N5:N9)</f>
        <v>1125</v>
      </c>
      <c r="P10" s="68"/>
      <c r="Q10" s="48" t="s">
        <v>388</v>
      </c>
      <c r="R10" s="45"/>
      <c r="S10" s="46">
        <f>R8+R9</f>
        <v>750</v>
      </c>
      <c r="T10" s="47">
        <f>S6+S10</f>
        <v>1833</v>
      </c>
    </row>
    <row r="11" spans="1:20" ht="27" thickBot="1" x14ac:dyDescent="0.45">
      <c r="A11" s="48" t="s">
        <v>85</v>
      </c>
      <c r="B11" s="45">
        <v>60</v>
      </c>
      <c r="C11" s="46" t="s">
        <v>2</v>
      </c>
      <c r="D11" s="47" t="s">
        <v>16</v>
      </c>
      <c r="E11" s="16" t="s">
        <v>301</v>
      </c>
      <c r="F11" s="31">
        <v>400</v>
      </c>
      <c r="G11" s="32" t="s">
        <v>296</v>
      </c>
      <c r="H11" s="32" t="s">
        <v>32</v>
      </c>
      <c r="I11" s="56" t="s">
        <v>175</v>
      </c>
      <c r="J11" s="57">
        <f>695+75</f>
        <v>770</v>
      </c>
      <c r="K11" s="89" t="s">
        <v>2</v>
      </c>
      <c r="L11" s="90" t="s">
        <v>2</v>
      </c>
      <c r="M11" s="141" t="s">
        <v>488</v>
      </c>
      <c r="N11" s="142"/>
      <c r="O11" s="142"/>
      <c r="P11" s="143"/>
      <c r="Q11" s="111" t="s">
        <v>496</v>
      </c>
      <c r="R11" s="112"/>
      <c r="S11" s="112"/>
      <c r="T11" s="113"/>
    </row>
    <row r="12" spans="1:20" ht="27" thickBot="1" x14ac:dyDescent="0.45">
      <c r="A12" s="48" t="s">
        <v>215</v>
      </c>
      <c r="B12" s="45">
        <v>140</v>
      </c>
      <c r="C12" s="46" t="s">
        <v>2</v>
      </c>
      <c r="D12" s="47" t="s">
        <v>214</v>
      </c>
      <c r="E12" s="16" t="s">
        <v>483</v>
      </c>
      <c r="F12" s="31">
        <v>25</v>
      </c>
      <c r="G12" s="32" t="s">
        <v>296</v>
      </c>
      <c r="H12" s="32" t="s">
        <v>18</v>
      </c>
      <c r="I12" s="55" t="s">
        <v>388</v>
      </c>
      <c r="J12" s="58"/>
      <c r="K12" s="59">
        <f>SUM(J5:J11)</f>
        <v>1600</v>
      </c>
      <c r="L12" s="59"/>
      <c r="M12" s="65" t="s">
        <v>531</v>
      </c>
      <c r="N12" s="66">
        <f>470+50</f>
        <v>520</v>
      </c>
      <c r="O12" s="67" t="s">
        <v>82</v>
      </c>
      <c r="P12" s="68" t="s">
        <v>242</v>
      </c>
      <c r="Q12" s="80" t="s">
        <v>265</v>
      </c>
      <c r="R12" s="61">
        <v>1119</v>
      </c>
      <c r="S12" s="78" t="s">
        <v>2</v>
      </c>
      <c r="T12" s="79" t="s">
        <v>2</v>
      </c>
    </row>
    <row r="13" spans="1:20" x14ac:dyDescent="0.4">
      <c r="A13" s="48" t="s">
        <v>25</v>
      </c>
      <c r="B13" s="45">
        <v>350</v>
      </c>
      <c r="C13" s="46" t="s">
        <v>2</v>
      </c>
      <c r="D13" s="47" t="s">
        <v>26</v>
      </c>
      <c r="E13" s="16" t="s">
        <v>302</v>
      </c>
      <c r="F13" s="31">
        <v>40</v>
      </c>
      <c r="G13" s="32" t="s">
        <v>296</v>
      </c>
      <c r="H13" s="32" t="s">
        <v>16</v>
      </c>
      <c r="I13" s="144" t="s">
        <v>486</v>
      </c>
      <c r="J13" s="145"/>
      <c r="K13" s="145"/>
      <c r="L13" s="145"/>
      <c r="M13" s="65" t="s">
        <v>330</v>
      </c>
      <c r="N13" s="66">
        <v>125</v>
      </c>
      <c r="O13" s="67" t="s">
        <v>82</v>
      </c>
      <c r="P13" s="68" t="s">
        <v>214</v>
      </c>
      <c r="Q13" s="48" t="s">
        <v>388</v>
      </c>
      <c r="R13" s="45"/>
      <c r="S13" s="46">
        <f>R12</f>
        <v>1119</v>
      </c>
      <c r="T13" s="47">
        <f>T10+S13</f>
        <v>2952</v>
      </c>
    </row>
    <row r="14" spans="1:20" ht="27" thickBot="1" x14ac:dyDescent="0.45">
      <c r="A14" s="48" t="s">
        <v>100</v>
      </c>
      <c r="B14" s="45">
        <v>263</v>
      </c>
      <c r="C14" s="46" t="s">
        <v>2</v>
      </c>
      <c r="D14" s="47" t="s">
        <v>2</v>
      </c>
      <c r="E14" s="16" t="s">
        <v>304</v>
      </c>
      <c r="F14" s="31">
        <v>20</v>
      </c>
      <c r="G14" s="32" t="s">
        <v>296</v>
      </c>
      <c r="H14" s="32" t="s">
        <v>214</v>
      </c>
      <c r="I14" s="56" t="s">
        <v>265</v>
      </c>
      <c r="J14" s="57">
        <v>447</v>
      </c>
      <c r="K14" s="89" t="s">
        <v>164</v>
      </c>
      <c r="L14" s="90" t="s">
        <v>2</v>
      </c>
      <c r="M14" s="97" t="s">
        <v>335</v>
      </c>
      <c r="N14" s="73">
        <v>350</v>
      </c>
      <c r="O14" s="98" t="s">
        <v>560</v>
      </c>
      <c r="P14" s="99" t="s">
        <v>32</v>
      </c>
      <c r="Q14" s="111" t="s">
        <v>497</v>
      </c>
      <c r="R14" s="112"/>
      <c r="S14" s="112"/>
      <c r="T14" s="113"/>
    </row>
    <row r="15" spans="1:20" ht="27" thickBot="1" x14ac:dyDescent="0.45">
      <c r="A15" s="80" t="s">
        <v>284</v>
      </c>
      <c r="B15" s="61">
        <v>100</v>
      </c>
      <c r="C15" s="78" t="s">
        <v>89</v>
      </c>
      <c r="D15" s="79" t="s">
        <v>32</v>
      </c>
      <c r="E15" s="16" t="s">
        <v>303</v>
      </c>
      <c r="F15" s="31">
        <v>20</v>
      </c>
      <c r="G15" s="32" t="s">
        <v>296</v>
      </c>
      <c r="H15" s="32" t="s">
        <v>14</v>
      </c>
      <c r="I15" s="55" t="s">
        <v>388</v>
      </c>
      <c r="J15" s="58"/>
      <c r="K15" s="59">
        <f>J14</f>
        <v>447</v>
      </c>
      <c r="L15" s="59">
        <f>K12+K15</f>
        <v>2047</v>
      </c>
      <c r="M15" s="65" t="s">
        <v>388</v>
      </c>
      <c r="N15" s="66"/>
      <c r="O15" s="67">
        <f>SUM(N12:N14)</f>
        <v>995</v>
      </c>
      <c r="P15" s="68">
        <f>O10+O15</f>
        <v>2120</v>
      </c>
      <c r="Q15" s="48" t="s">
        <v>265</v>
      </c>
      <c r="R15" s="45">
        <f>109265-108705</f>
        <v>560</v>
      </c>
      <c r="S15" s="46" t="s">
        <v>2</v>
      </c>
      <c r="T15" s="47" t="s">
        <v>2</v>
      </c>
    </row>
    <row r="16" spans="1:20" ht="27" thickBot="1" x14ac:dyDescent="0.45">
      <c r="A16" s="48" t="s">
        <v>388</v>
      </c>
      <c r="B16" s="45"/>
      <c r="C16" s="46">
        <f>SUM(B5:B15)</f>
        <v>3048</v>
      </c>
      <c r="D16" s="47"/>
      <c r="E16" s="19" t="s">
        <v>516</v>
      </c>
      <c r="F16" s="54">
        <f>886+1729</f>
        <v>2615</v>
      </c>
      <c r="G16" s="84" t="s">
        <v>296</v>
      </c>
      <c r="H16" s="85" t="s">
        <v>2</v>
      </c>
      <c r="I16" s="144" t="s">
        <v>494</v>
      </c>
      <c r="J16" s="145"/>
      <c r="K16" s="145"/>
      <c r="L16" s="145"/>
      <c r="M16" s="141" t="s">
        <v>489</v>
      </c>
      <c r="N16" s="142"/>
      <c r="O16" s="142"/>
      <c r="P16" s="143"/>
      <c r="Q16" s="80" t="s">
        <v>357</v>
      </c>
      <c r="R16" s="14">
        <v>155</v>
      </c>
      <c r="S16" s="78" t="s">
        <v>358</v>
      </c>
      <c r="T16" s="79" t="s">
        <v>2</v>
      </c>
    </row>
    <row r="17" spans="1:20" x14ac:dyDescent="0.4">
      <c r="A17" s="111" t="s">
        <v>478</v>
      </c>
      <c r="B17" s="112"/>
      <c r="C17" s="112"/>
      <c r="D17" s="113"/>
      <c r="E17" s="16" t="s">
        <v>388</v>
      </c>
      <c r="F17" s="31"/>
      <c r="G17" s="32">
        <f>SUM(F11:F16)</f>
        <v>3120</v>
      </c>
      <c r="H17" s="32">
        <f>G9+G17</f>
        <v>5742</v>
      </c>
      <c r="I17" s="55" t="s">
        <v>270</v>
      </c>
      <c r="J17" s="58">
        <v>40</v>
      </c>
      <c r="K17" s="59" t="s">
        <v>164</v>
      </c>
      <c r="L17" s="59" t="s">
        <v>16</v>
      </c>
      <c r="M17" s="65" t="s">
        <v>334</v>
      </c>
      <c r="N17" s="66">
        <v>20</v>
      </c>
      <c r="O17" s="67" t="s">
        <v>32</v>
      </c>
      <c r="P17" s="68" t="s">
        <v>242</v>
      </c>
      <c r="Q17" s="48" t="s">
        <v>388</v>
      </c>
      <c r="R17" s="11"/>
      <c r="S17" s="46">
        <f>R15+R16</f>
        <v>715</v>
      </c>
      <c r="T17" s="47">
        <f>T13+S17</f>
        <v>3667</v>
      </c>
    </row>
    <row r="18" spans="1:20" x14ac:dyDescent="0.4">
      <c r="A18" s="10" t="s">
        <v>288</v>
      </c>
      <c r="B18" s="45">
        <v>20</v>
      </c>
      <c r="C18" s="46" t="s">
        <v>6</v>
      </c>
      <c r="D18" s="47" t="s">
        <v>32</v>
      </c>
      <c r="E18" s="139" t="s">
        <v>485</v>
      </c>
      <c r="F18" s="140"/>
      <c r="G18" s="140"/>
      <c r="H18" s="140"/>
      <c r="I18" s="55" t="s">
        <v>269</v>
      </c>
      <c r="J18" s="58">
        <v>60</v>
      </c>
      <c r="K18" s="59" t="s">
        <v>164</v>
      </c>
      <c r="L18" s="59" t="s">
        <v>214</v>
      </c>
      <c r="M18" s="65" t="s">
        <v>341</v>
      </c>
      <c r="N18" s="66">
        <v>1500</v>
      </c>
      <c r="O18" s="67" t="s">
        <v>32</v>
      </c>
      <c r="P18" s="68" t="s">
        <v>18</v>
      </c>
      <c r="Q18" s="111" t="s">
        <v>498</v>
      </c>
      <c r="R18" s="112"/>
      <c r="S18" s="112"/>
      <c r="T18" s="113"/>
    </row>
    <row r="19" spans="1:20" ht="27" thickBot="1" x14ac:dyDescent="0.45">
      <c r="A19" s="10" t="s">
        <v>506</v>
      </c>
      <c r="B19" s="45">
        <v>2500</v>
      </c>
      <c r="C19" s="46" t="s">
        <v>6</v>
      </c>
      <c r="D19" s="47" t="s">
        <v>18</v>
      </c>
      <c r="E19" s="30" t="s">
        <v>524</v>
      </c>
      <c r="F19" s="31">
        <f>890+40</f>
        <v>930</v>
      </c>
      <c r="G19" s="32" t="s">
        <v>308</v>
      </c>
      <c r="H19" s="32" t="s">
        <v>32</v>
      </c>
      <c r="I19" s="55" t="s">
        <v>528</v>
      </c>
      <c r="J19" s="58">
        <f>1101+2389</f>
        <v>3490</v>
      </c>
      <c r="K19" s="59" t="s">
        <v>164</v>
      </c>
      <c r="L19" s="59" t="s">
        <v>2</v>
      </c>
      <c r="M19" s="65" t="s">
        <v>175</v>
      </c>
      <c r="N19" s="66">
        <v>550</v>
      </c>
      <c r="O19" s="67" t="s">
        <v>32</v>
      </c>
      <c r="P19" s="68" t="s">
        <v>2</v>
      </c>
      <c r="Q19" s="80" t="s">
        <v>265</v>
      </c>
      <c r="R19" s="61">
        <v>140</v>
      </c>
      <c r="S19" s="78"/>
      <c r="T19" s="79"/>
    </row>
    <row r="20" spans="1:20" ht="27" thickBot="1" x14ac:dyDescent="0.45">
      <c r="A20" s="10" t="s">
        <v>85</v>
      </c>
      <c r="B20" s="45">
        <v>20</v>
      </c>
      <c r="C20" s="46" t="s">
        <v>6</v>
      </c>
      <c r="D20" s="47" t="s">
        <v>16</v>
      </c>
      <c r="E20" s="30" t="s">
        <v>270</v>
      </c>
      <c r="F20" s="31">
        <v>60</v>
      </c>
      <c r="G20" s="32" t="s">
        <v>308</v>
      </c>
      <c r="H20" s="32" t="s">
        <v>16</v>
      </c>
      <c r="I20" s="55" t="s">
        <v>527</v>
      </c>
      <c r="J20" s="58">
        <f>336+60</f>
        <v>396</v>
      </c>
      <c r="K20" s="59" t="s">
        <v>164</v>
      </c>
      <c r="L20" s="59" t="s">
        <v>32</v>
      </c>
      <c r="M20" s="97" t="s">
        <v>342</v>
      </c>
      <c r="N20" s="73">
        <v>70</v>
      </c>
      <c r="O20" s="98" t="s">
        <v>343</v>
      </c>
      <c r="P20" s="99" t="s">
        <v>2</v>
      </c>
      <c r="Q20" s="76" t="s">
        <v>388</v>
      </c>
      <c r="R20" s="91"/>
      <c r="S20" s="91">
        <f>R19</f>
        <v>140</v>
      </c>
      <c r="T20" s="92">
        <f>T17+S20</f>
        <v>3807</v>
      </c>
    </row>
    <row r="21" spans="1:20" ht="27" thickBot="1" x14ac:dyDescent="0.45">
      <c r="A21" s="10" t="s">
        <v>523</v>
      </c>
      <c r="B21" s="45">
        <v>40</v>
      </c>
      <c r="C21" s="46" t="s">
        <v>6</v>
      </c>
      <c r="D21" s="47" t="s">
        <v>214</v>
      </c>
      <c r="E21" s="30" t="s">
        <v>269</v>
      </c>
      <c r="F21" s="31">
        <v>260</v>
      </c>
      <c r="G21" s="32" t="s">
        <v>308</v>
      </c>
      <c r="H21" s="32" t="s">
        <v>214</v>
      </c>
      <c r="I21" s="104" t="s">
        <v>388</v>
      </c>
      <c r="J21" s="96"/>
      <c r="K21" s="105">
        <f>SUM(J17:J20)</f>
        <v>3986</v>
      </c>
      <c r="L21" s="106">
        <f>L15+K21</f>
        <v>6033</v>
      </c>
      <c r="M21" s="65" t="s">
        <v>388</v>
      </c>
      <c r="N21" s="66"/>
      <c r="O21" s="67">
        <f>SUM(N17:N20)</f>
        <v>2140</v>
      </c>
      <c r="P21" s="68">
        <f>P15+O21</f>
        <v>4260</v>
      </c>
      <c r="Q21" s="13" t="s">
        <v>351</v>
      </c>
      <c r="R21" s="61">
        <f>SUM(R5:R19)</f>
        <v>3807</v>
      </c>
      <c r="S21" s="14"/>
      <c r="T21" s="15"/>
    </row>
    <row r="22" spans="1:20" ht="27" thickBot="1" x14ac:dyDescent="0.45">
      <c r="A22" s="13" t="s">
        <v>175</v>
      </c>
      <c r="B22" s="61">
        <f>1334+80</f>
        <v>1414</v>
      </c>
      <c r="C22" s="78" t="s">
        <v>6</v>
      </c>
      <c r="D22" s="79" t="s">
        <v>2</v>
      </c>
      <c r="E22" s="30" t="s">
        <v>307</v>
      </c>
      <c r="F22" s="31">
        <v>25</v>
      </c>
      <c r="G22" s="32" t="s">
        <v>308</v>
      </c>
      <c r="H22" s="32" t="s">
        <v>14</v>
      </c>
      <c r="I22" s="25" t="s">
        <v>321</v>
      </c>
      <c r="J22" s="57">
        <f>SUM(J5:J21)</f>
        <v>6033</v>
      </c>
      <c r="K22" s="26"/>
      <c r="L22" s="26"/>
      <c r="M22" s="141" t="s">
        <v>490</v>
      </c>
      <c r="N22" s="142"/>
      <c r="O22" s="142"/>
      <c r="P22" s="143"/>
    </row>
    <row r="23" spans="1:20" ht="27" thickBot="1" x14ac:dyDescent="0.45">
      <c r="A23" s="10" t="s">
        <v>388</v>
      </c>
      <c r="B23" s="45"/>
      <c r="C23" s="46">
        <f>SUM(B18:B22)</f>
        <v>3994</v>
      </c>
      <c r="D23" s="47">
        <f>C16+C23</f>
        <v>7042</v>
      </c>
      <c r="E23" s="53" t="s">
        <v>265</v>
      </c>
      <c r="F23" s="54">
        <f>5131+25</f>
        <v>5156</v>
      </c>
      <c r="G23" s="84" t="s">
        <v>308</v>
      </c>
      <c r="H23" s="85" t="s">
        <v>2</v>
      </c>
      <c r="M23" s="97" t="s">
        <v>265</v>
      </c>
      <c r="N23" s="73">
        <f>12220+1240</f>
        <v>13460</v>
      </c>
      <c r="O23" s="98" t="s">
        <v>344</v>
      </c>
      <c r="P23" s="99" t="s">
        <v>2</v>
      </c>
    </row>
    <row r="24" spans="1:20" ht="27" thickBot="1" x14ac:dyDescent="0.45">
      <c r="A24" s="111" t="s">
        <v>479</v>
      </c>
      <c r="B24" s="112"/>
      <c r="C24" s="112"/>
      <c r="D24" s="113"/>
      <c r="E24" s="86" t="s">
        <v>388</v>
      </c>
      <c r="F24" s="87"/>
      <c r="G24" s="87">
        <f>SUM(F19:F23)</f>
        <v>6431</v>
      </c>
      <c r="H24" s="88">
        <f>H17+G24</f>
        <v>12173</v>
      </c>
      <c r="M24" s="65" t="s">
        <v>388</v>
      </c>
      <c r="N24" s="66"/>
      <c r="O24" s="67">
        <f>N23</f>
        <v>13460</v>
      </c>
      <c r="P24" s="68">
        <f>P21+O24</f>
        <v>17720</v>
      </c>
    </row>
    <row r="25" spans="1:20" ht="27" thickBot="1" x14ac:dyDescent="0.45">
      <c r="A25" s="10" t="s">
        <v>289</v>
      </c>
      <c r="B25" s="45">
        <v>40</v>
      </c>
      <c r="C25" s="46" t="s">
        <v>225</v>
      </c>
      <c r="D25" s="47" t="s">
        <v>214</v>
      </c>
      <c r="E25" s="19" t="s">
        <v>292</v>
      </c>
      <c r="F25" s="54">
        <f>SUM(F5:F23)</f>
        <v>12173</v>
      </c>
      <c r="G25" s="20"/>
      <c r="H25" s="20"/>
      <c r="M25" s="141" t="s">
        <v>491</v>
      </c>
      <c r="N25" s="142"/>
      <c r="O25" s="142"/>
      <c r="P25" s="143"/>
    </row>
    <row r="26" spans="1:20" ht="27" thickBot="1" x14ac:dyDescent="0.45">
      <c r="A26" s="13" t="s">
        <v>175</v>
      </c>
      <c r="B26" s="61">
        <v>60</v>
      </c>
      <c r="C26" s="78" t="s">
        <v>225</v>
      </c>
      <c r="D26" s="79" t="s">
        <v>2</v>
      </c>
      <c r="M26" s="65" t="s">
        <v>265</v>
      </c>
      <c r="N26" s="66">
        <f>795+136</f>
        <v>931</v>
      </c>
      <c r="O26" s="67" t="s">
        <v>345</v>
      </c>
      <c r="P26" s="68"/>
    </row>
    <row r="27" spans="1:20" ht="27" thickBot="1" x14ac:dyDescent="0.45">
      <c r="A27" s="76" t="s">
        <v>388</v>
      </c>
      <c r="B27" s="91"/>
      <c r="C27" s="91">
        <f>B25+B26</f>
        <v>100</v>
      </c>
      <c r="D27" s="92">
        <f>D23+C27</f>
        <v>7142</v>
      </c>
      <c r="E27" s="1" t="s">
        <v>368</v>
      </c>
      <c r="F27" s="1">
        <f>B28+F25+J22+N29+R21</f>
        <v>49306</v>
      </c>
      <c r="H27" s="4"/>
      <c r="M27" s="97" t="s">
        <v>348</v>
      </c>
      <c r="N27" s="73">
        <v>1500</v>
      </c>
      <c r="O27" s="98" t="s">
        <v>345</v>
      </c>
      <c r="P27" s="99" t="s">
        <v>18</v>
      </c>
    </row>
    <row r="28" spans="1:20" ht="27" thickBot="1" x14ac:dyDescent="0.45">
      <c r="A28" s="13" t="s">
        <v>279</v>
      </c>
      <c r="B28" s="61">
        <f>SUM(B5:B26)</f>
        <v>7142</v>
      </c>
      <c r="C28" s="14"/>
      <c r="D28" s="15"/>
      <c r="M28" s="107" t="s">
        <v>388</v>
      </c>
      <c r="N28" s="108"/>
      <c r="O28" s="109">
        <f>N26+N27</f>
        <v>2431</v>
      </c>
      <c r="P28" s="110">
        <f>P24+O28</f>
        <v>20151</v>
      </c>
    </row>
    <row r="29" spans="1:20" ht="27" thickBot="1" x14ac:dyDescent="0.45">
      <c r="E29" s="1" t="s">
        <v>205</v>
      </c>
      <c r="F29" s="1">
        <f>'Dragon Kingdom'!F36+'Lost Cities'!F32+'Icy Wilderness'!F16+'Volcanic Isle CONDENSING'!F27</f>
        <v>139488</v>
      </c>
      <c r="M29" s="72" t="s">
        <v>328</v>
      </c>
      <c r="N29" s="73">
        <f>SUM(N4:N28)</f>
        <v>20151</v>
      </c>
      <c r="O29" s="74"/>
      <c r="P29" s="75"/>
    </row>
    <row r="30" spans="1:20" x14ac:dyDescent="0.4">
      <c r="E30" s="4"/>
      <c r="F30" s="5"/>
      <c r="G30" s="4"/>
    </row>
    <row r="65" spans="1:4" x14ac:dyDescent="0.4">
      <c r="C65" s="3"/>
      <c r="D65" s="3"/>
    </row>
    <row r="69" spans="1:4" x14ac:dyDescent="0.4">
      <c r="A69" s="146"/>
      <c r="B69" s="146"/>
      <c r="C69" s="146"/>
      <c r="D69" s="146"/>
    </row>
    <row r="72" spans="1:4" x14ac:dyDescent="0.4">
      <c r="A72" s="146"/>
      <c r="B72" s="146"/>
      <c r="C72" s="146"/>
      <c r="D72" s="146"/>
    </row>
    <row r="75" spans="1:4" x14ac:dyDescent="0.4">
      <c r="A75" s="146"/>
      <c r="B75" s="146"/>
      <c r="C75" s="146"/>
      <c r="D75" s="146"/>
    </row>
  </sheetData>
  <sortState xmlns:xlrd2="http://schemas.microsoft.com/office/spreadsheetml/2017/richdata2" ref="M17:P20">
    <sortCondition ref="O17:O20"/>
    <sortCondition ref="P17:P20"/>
  </sortState>
  <mergeCells count="28">
    <mergeCell ref="M25:P25"/>
    <mergeCell ref="A69:D69"/>
    <mergeCell ref="A72:D72"/>
    <mergeCell ref="A75:D75"/>
    <mergeCell ref="M16:P16"/>
    <mergeCell ref="Q18:T18"/>
    <mergeCell ref="I16:L16"/>
    <mergeCell ref="E18:H18"/>
    <mergeCell ref="M22:P22"/>
    <mergeCell ref="A24:D24"/>
    <mergeCell ref="A17:D17"/>
    <mergeCell ref="E10:H10"/>
    <mergeCell ref="Q11:T11"/>
    <mergeCell ref="M11:P11"/>
    <mergeCell ref="Q14:T14"/>
    <mergeCell ref="I13:L13"/>
    <mergeCell ref="Q7:T7"/>
    <mergeCell ref="A1:T1"/>
    <mergeCell ref="A2:D2"/>
    <mergeCell ref="E2:H2"/>
    <mergeCell ref="I2:L2"/>
    <mergeCell ref="M2:P2"/>
    <mergeCell ref="Q2:T2"/>
    <mergeCell ref="A4:D4"/>
    <mergeCell ref="E4:H4"/>
    <mergeCell ref="I4:L4"/>
    <mergeCell ref="M4:P4"/>
    <mergeCell ref="Q4:T4"/>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C4B37-2DB3-43DF-8181-AC6F6C103284}">
  <dimension ref="A1:R37"/>
  <sheetViews>
    <sheetView zoomScale="76" zoomScaleNormal="60" workbookViewId="0">
      <selection activeCell="A2" sqref="A2:D2"/>
    </sheetView>
  </sheetViews>
  <sheetFormatPr defaultRowHeight="26.25" x14ac:dyDescent="0.4"/>
  <cols>
    <col min="1" max="1" width="94.28515625" style="1" bestFit="1" customWidth="1"/>
    <col min="2" max="2" width="14.42578125" style="1" bestFit="1" customWidth="1"/>
    <col min="3" max="3" width="21.140625" style="1" bestFit="1" customWidth="1"/>
    <col min="4" max="4" width="43.5703125" style="1" bestFit="1" customWidth="1"/>
    <col min="5" max="5" width="94.28515625" style="1" customWidth="1"/>
    <col min="6" max="6" width="14.5703125" style="1" bestFit="1" customWidth="1"/>
    <col min="7" max="7" width="45.5703125" style="1" customWidth="1"/>
    <col min="8" max="8" width="43.5703125" style="1" bestFit="1" customWidth="1"/>
    <col min="9" max="9" width="86.85546875" style="1" bestFit="1" customWidth="1"/>
    <col min="10" max="10" width="14.5703125" style="1" bestFit="1" customWidth="1"/>
    <col min="11" max="11" width="21.5703125" style="1" bestFit="1" customWidth="1"/>
    <col min="12" max="12" width="43.5703125" style="1" bestFit="1" customWidth="1"/>
    <col min="13" max="13" width="11.5703125" style="1" bestFit="1" customWidth="1"/>
    <col min="14" max="16384" width="9.140625" style="1"/>
  </cols>
  <sheetData>
    <row r="1" spans="1:18" ht="27" thickBot="1" x14ac:dyDescent="0.45">
      <c r="A1" s="114" t="str">
        <f>"Dragon Kingdom (total " &amp; F32 &amp; ")"</f>
        <v>Dragon Kingdom (total 22722)</v>
      </c>
      <c r="B1" s="115"/>
      <c r="C1" s="115"/>
      <c r="D1" s="115"/>
      <c r="E1" s="115"/>
      <c r="F1" s="115"/>
      <c r="G1" s="115"/>
      <c r="H1" s="115"/>
      <c r="I1" s="115"/>
      <c r="J1" s="115"/>
      <c r="K1" s="115"/>
      <c r="L1" s="116"/>
      <c r="N1" s="2"/>
      <c r="P1" s="2"/>
      <c r="R1" s="2"/>
    </row>
    <row r="2" spans="1:18" ht="27" thickBot="1" x14ac:dyDescent="0.45">
      <c r="A2" s="117" t="s">
        <v>375</v>
      </c>
      <c r="B2" s="118"/>
      <c r="C2" s="118"/>
      <c r="D2" s="119"/>
      <c r="E2" s="120" t="s">
        <v>392</v>
      </c>
      <c r="F2" s="121"/>
      <c r="G2" s="121"/>
      <c r="H2" s="122"/>
      <c r="I2" s="123" t="s">
        <v>376</v>
      </c>
      <c r="J2" s="124"/>
      <c r="K2" s="124"/>
      <c r="L2" s="125"/>
    </row>
    <row r="3" spans="1:18" ht="27" thickBot="1" x14ac:dyDescent="0.45">
      <c r="A3" s="7" t="s">
        <v>0</v>
      </c>
      <c r="B3" s="8" t="s">
        <v>1</v>
      </c>
      <c r="C3" s="8" t="s">
        <v>19</v>
      </c>
      <c r="D3" s="9" t="s">
        <v>20</v>
      </c>
      <c r="E3" s="44" t="s">
        <v>0</v>
      </c>
      <c r="F3" s="28" t="s">
        <v>1</v>
      </c>
      <c r="G3" s="28" t="s">
        <v>19</v>
      </c>
      <c r="H3" s="29" t="s">
        <v>20</v>
      </c>
      <c r="I3" s="33" t="s">
        <v>0</v>
      </c>
      <c r="J3" s="34" t="s">
        <v>1</v>
      </c>
      <c r="K3" s="34" t="s">
        <v>19</v>
      </c>
      <c r="L3" s="35" t="s">
        <v>20</v>
      </c>
    </row>
    <row r="4" spans="1:18" x14ac:dyDescent="0.4">
      <c r="A4" s="129" t="s">
        <v>435</v>
      </c>
      <c r="B4" s="130"/>
      <c r="C4" s="130"/>
      <c r="D4" s="131"/>
      <c r="E4" s="139" t="s">
        <v>433</v>
      </c>
      <c r="F4" s="140"/>
      <c r="G4" s="140"/>
      <c r="H4" s="147"/>
      <c r="I4" s="144" t="s">
        <v>439</v>
      </c>
      <c r="J4" s="145"/>
      <c r="K4" s="145"/>
      <c r="L4" s="148"/>
    </row>
    <row r="5" spans="1:18" x14ac:dyDescent="0.4">
      <c r="A5" s="10" t="s">
        <v>24</v>
      </c>
      <c r="B5" s="11">
        <v>336</v>
      </c>
      <c r="C5" s="11" t="s">
        <v>2</v>
      </c>
      <c r="D5" s="12" t="s">
        <v>3</v>
      </c>
      <c r="E5" s="16" t="s">
        <v>43</v>
      </c>
      <c r="F5" s="17">
        <v>873</v>
      </c>
      <c r="G5" s="17" t="s">
        <v>2</v>
      </c>
      <c r="H5" s="18" t="s">
        <v>2</v>
      </c>
      <c r="I5" s="22" t="s">
        <v>72</v>
      </c>
      <c r="J5" s="23">
        <v>896</v>
      </c>
      <c r="K5" s="23" t="s">
        <v>2</v>
      </c>
      <c r="L5" s="24" t="s">
        <v>2</v>
      </c>
    </row>
    <row r="6" spans="1:18" x14ac:dyDescent="0.4">
      <c r="A6" s="10" t="s">
        <v>25</v>
      </c>
      <c r="B6" s="11">
        <v>175</v>
      </c>
      <c r="C6" s="11" t="s">
        <v>2</v>
      </c>
      <c r="D6" s="12" t="s">
        <v>26</v>
      </c>
      <c r="E6" s="16" t="s">
        <v>44</v>
      </c>
      <c r="F6" s="17">
        <v>345</v>
      </c>
      <c r="G6" s="17" t="s">
        <v>2</v>
      </c>
      <c r="H6" s="18" t="s">
        <v>12</v>
      </c>
      <c r="I6" s="22" t="s">
        <v>78</v>
      </c>
      <c r="J6" s="23">
        <v>395</v>
      </c>
      <c r="K6" s="23" t="s">
        <v>2</v>
      </c>
      <c r="L6" s="24" t="s">
        <v>12</v>
      </c>
    </row>
    <row r="7" spans="1:18" x14ac:dyDescent="0.4">
      <c r="A7" s="10" t="s">
        <v>27</v>
      </c>
      <c r="B7" s="11">
        <v>100</v>
      </c>
      <c r="C7" s="11" t="s">
        <v>2</v>
      </c>
      <c r="D7" s="12" t="s">
        <v>28</v>
      </c>
      <c r="E7" s="16" t="s">
        <v>80</v>
      </c>
      <c r="F7" s="17">
        <v>161</v>
      </c>
      <c r="G7" s="17" t="s">
        <v>2</v>
      </c>
      <c r="H7" s="18" t="s">
        <v>14</v>
      </c>
      <c r="I7" s="22" t="s">
        <v>79</v>
      </c>
      <c r="J7" s="23">
        <v>1511</v>
      </c>
      <c r="K7" s="23" t="s">
        <v>2</v>
      </c>
      <c r="L7" s="24" t="s">
        <v>2</v>
      </c>
    </row>
    <row r="8" spans="1:18" x14ac:dyDescent="0.4">
      <c r="A8" s="10" t="s">
        <v>29</v>
      </c>
      <c r="B8" s="11">
        <v>300</v>
      </c>
      <c r="C8" s="11" t="s">
        <v>2</v>
      </c>
      <c r="D8" s="12" t="s">
        <v>30</v>
      </c>
      <c r="E8" s="16" t="s">
        <v>52</v>
      </c>
      <c r="F8" s="17">
        <v>75</v>
      </c>
      <c r="G8" s="17" t="s">
        <v>32</v>
      </c>
      <c r="H8" s="18" t="s">
        <v>2</v>
      </c>
      <c r="I8" s="22" t="s">
        <v>76</v>
      </c>
      <c r="J8" s="23">
        <v>75</v>
      </c>
      <c r="K8" s="23" t="s">
        <v>2</v>
      </c>
      <c r="L8" s="24" t="s">
        <v>77</v>
      </c>
    </row>
    <row r="9" spans="1:18" ht="27" thickBot="1" x14ac:dyDescent="0.45">
      <c r="A9" s="13" t="s">
        <v>377</v>
      </c>
      <c r="B9" s="14">
        <v>150</v>
      </c>
      <c r="C9" s="14" t="s">
        <v>32</v>
      </c>
      <c r="D9" s="15" t="s">
        <v>2</v>
      </c>
      <c r="E9" s="16" t="s">
        <v>53</v>
      </c>
      <c r="F9" s="17">
        <v>25</v>
      </c>
      <c r="G9" s="17" t="s">
        <v>32</v>
      </c>
      <c r="H9" s="18" t="s">
        <v>2</v>
      </c>
      <c r="I9" s="22" t="s">
        <v>88</v>
      </c>
      <c r="J9" s="23">
        <v>55</v>
      </c>
      <c r="K9" s="23" t="s">
        <v>2</v>
      </c>
      <c r="L9" s="24" t="s">
        <v>14</v>
      </c>
    </row>
    <row r="10" spans="1:18" x14ac:dyDescent="0.4">
      <c r="A10" s="10" t="s">
        <v>388</v>
      </c>
      <c r="B10" s="11"/>
      <c r="C10" s="11">
        <f>SUM(B5:B9)</f>
        <v>1061</v>
      </c>
      <c r="D10" s="12"/>
      <c r="E10" s="16" t="s">
        <v>65</v>
      </c>
      <c r="F10" s="17">
        <v>1000</v>
      </c>
      <c r="G10" s="17" t="s">
        <v>2</v>
      </c>
      <c r="H10" s="18" t="s">
        <v>66</v>
      </c>
      <c r="I10" s="22" t="s">
        <v>85</v>
      </c>
      <c r="J10" s="23">
        <v>100</v>
      </c>
      <c r="K10" s="23" t="s">
        <v>2</v>
      </c>
      <c r="L10" s="24" t="s">
        <v>16</v>
      </c>
    </row>
    <row r="11" spans="1:18" x14ac:dyDescent="0.4">
      <c r="A11" s="111" t="s">
        <v>436</v>
      </c>
      <c r="B11" s="112"/>
      <c r="C11" s="112"/>
      <c r="D11" s="113"/>
      <c r="E11" s="16" t="s">
        <v>67</v>
      </c>
      <c r="F11" s="17">
        <v>2500</v>
      </c>
      <c r="G11" s="17" t="s">
        <v>2</v>
      </c>
      <c r="H11" s="18" t="s">
        <v>69</v>
      </c>
      <c r="I11" s="22" t="s">
        <v>90</v>
      </c>
      <c r="J11" s="23">
        <v>100</v>
      </c>
      <c r="K11" s="23" t="s">
        <v>89</v>
      </c>
      <c r="L11" s="24" t="s">
        <v>32</v>
      </c>
    </row>
    <row r="12" spans="1:18" x14ac:dyDescent="0.4">
      <c r="A12" s="10" t="s">
        <v>381</v>
      </c>
      <c r="B12" s="11">
        <v>31</v>
      </c>
      <c r="C12" s="11" t="s">
        <v>6</v>
      </c>
      <c r="D12" s="12" t="s">
        <v>2</v>
      </c>
      <c r="E12" s="16" t="s">
        <v>68</v>
      </c>
      <c r="F12" s="17">
        <v>50</v>
      </c>
      <c r="G12" s="17" t="s">
        <v>502</v>
      </c>
      <c r="H12" s="18" t="s">
        <v>2</v>
      </c>
      <c r="I12" s="22" t="s">
        <v>73</v>
      </c>
      <c r="J12" s="23">
        <v>250</v>
      </c>
      <c r="K12" s="23" t="s">
        <v>32</v>
      </c>
      <c r="L12" s="24" t="s">
        <v>2</v>
      </c>
    </row>
    <row r="13" spans="1:18" x14ac:dyDescent="0.4">
      <c r="A13" s="10" t="s">
        <v>382</v>
      </c>
      <c r="B13" s="11">
        <v>255</v>
      </c>
      <c r="C13" s="11" t="s">
        <v>6</v>
      </c>
      <c r="D13" s="12" t="s">
        <v>2</v>
      </c>
      <c r="E13" s="16" t="s">
        <v>70</v>
      </c>
      <c r="F13" s="17">
        <v>500</v>
      </c>
      <c r="G13" s="17" t="s">
        <v>2</v>
      </c>
      <c r="H13" s="18" t="s">
        <v>18</v>
      </c>
      <c r="I13" s="22" t="s">
        <v>74</v>
      </c>
      <c r="J13" s="23">
        <v>899</v>
      </c>
      <c r="K13" s="23" t="s">
        <v>32</v>
      </c>
      <c r="L13" s="24" t="s">
        <v>2</v>
      </c>
    </row>
    <row r="14" spans="1:18" x14ac:dyDescent="0.4">
      <c r="A14" s="10" t="s">
        <v>389</v>
      </c>
      <c r="B14" s="11">
        <v>20</v>
      </c>
      <c r="C14" s="11" t="s">
        <v>6</v>
      </c>
      <c r="D14" s="12" t="s">
        <v>16</v>
      </c>
      <c r="E14" s="16" t="s">
        <v>393</v>
      </c>
      <c r="F14" s="17">
        <v>25</v>
      </c>
      <c r="G14" s="17" t="s">
        <v>2</v>
      </c>
      <c r="H14" s="18" t="s">
        <v>12</v>
      </c>
      <c r="I14" s="22" t="s">
        <v>405</v>
      </c>
      <c r="J14" s="23">
        <f>1166+90</f>
        <v>1256</v>
      </c>
      <c r="K14" s="23" t="s">
        <v>2</v>
      </c>
      <c r="L14" s="24" t="s">
        <v>2</v>
      </c>
    </row>
    <row r="15" spans="1:18" x14ac:dyDescent="0.4">
      <c r="A15" s="10" t="s">
        <v>383</v>
      </c>
      <c r="B15" s="11">
        <v>20</v>
      </c>
      <c r="C15" s="11" t="s">
        <v>6</v>
      </c>
      <c r="D15" s="12" t="s">
        <v>14</v>
      </c>
      <c r="E15" s="16" t="s">
        <v>394</v>
      </c>
      <c r="F15" s="17">
        <v>80</v>
      </c>
      <c r="G15" s="17" t="s">
        <v>2</v>
      </c>
      <c r="H15" s="18" t="s">
        <v>2</v>
      </c>
      <c r="I15" s="22" t="s">
        <v>406</v>
      </c>
      <c r="J15" s="23">
        <v>143</v>
      </c>
      <c r="K15" s="23" t="s">
        <v>2</v>
      </c>
      <c r="L15" s="24" t="s">
        <v>94</v>
      </c>
    </row>
    <row r="16" spans="1:18" x14ac:dyDescent="0.4">
      <c r="A16" s="10" t="s">
        <v>378</v>
      </c>
      <c r="B16" s="11">
        <v>500</v>
      </c>
      <c r="C16" s="11" t="s">
        <v>6</v>
      </c>
      <c r="D16" s="12" t="s">
        <v>18</v>
      </c>
      <c r="E16" s="16" t="s">
        <v>395</v>
      </c>
      <c r="F16" s="17">
        <v>70</v>
      </c>
      <c r="G16" s="17" t="s">
        <v>49</v>
      </c>
      <c r="H16" s="18" t="s">
        <v>12</v>
      </c>
      <c r="I16" s="22" t="s">
        <v>407</v>
      </c>
      <c r="J16" s="23">
        <v>50</v>
      </c>
      <c r="K16" s="23" t="s">
        <v>2</v>
      </c>
      <c r="L16" s="24" t="s">
        <v>94</v>
      </c>
    </row>
    <row r="17" spans="1:12" x14ac:dyDescent="0.4">
      <c r="A17" s="10" t="s">
        <v>379</v>
      </c>
      <c r="B17" s="11">
        <v>215</v>
      </c>
      <c r="C17" s="11" t="s">
        <v>6</v>
      </c>
      <c r="D17" s="12" t="s">
        <v>2</v>
      </c>
      <c r="E17" s="16" t="s">
        <v>396</v>
      </c>
      <c r="F17" s="17">
        <v>175</v>
      </c>
      <c r="G17" s="17" t="s">
        <v>49</v>
      </c>
      <c r="H17" s="18" t="s">
        <v>2</v>
      </c>
      <c r="I17" s="22" t="s">
        <v>364</v>
      </c>
      <c r="J17" s="23">
        <v>695</v>
      </c>
      <c r="K17" s="23" t="s">
        <v>2</v>
      </c>
      <c r="L17" s="24" t="s">
        <v>2</v>
      </c>
    </row>
    <row r="18" spans="1:12" ht="27" thickBot="1" x14ac:dyDescent="0.45">
      <c r="A18" s="10" t="s">
        <v>380</v>
      </c>
      <c r="B18" s="11">
        <v>396</v>
      </c>
      <c r="C18" s="11" t="s">
        <v>6</v>
      </c>
      <c r="D18" s="12" t="s">
        <v>2</v>
      </c>
      <c r="E18" s="16" t="s">
        <v>361</v>
      </c>
      <c r="F18" s="17">
        <v>928</v>
      </c>
      <c r="G18" s="17" t="s">
        <v>2</v>
      </c>
      <c r="H18" s="17" t="s">
        <v>2</v>
      </c>
      <c r="I18" s="25" t="s">
        <v>365</v>
      </c>
      <c r="J18" s="26">
        <v>828</v>
      </c>
      <c r="K18" s="26" t="s">
        <v>2</v>
      </c>
      <c r="L18" s="27" t="s">
        <v>2</v>
      </c>
    </row>
    <row r="19" spans="1:12" ht="27" thickBot="1" x14ac:dyDescent="0.45">
      <c r="A19" s="10" t="s">
        <v>499</v>
      </c>
      <c r="B19" s="11">
        <v>395</v>
      </c>
      <c r="C19" s="11" t="s">
        <v>6</v>
      </c>
      <c r="D19" s="12" t="s">
        <v>2</v>
      </c>
      <c r="E19" s="19" t="s">
        <v>362</v>
      </c>
      <c r="F19" s="20">
        <v>878</v>
      </c>
      <c r="G19" s="20" t="s">
        <v>2</v>
      </c>
      <c r="H19" s="20" t="s">
        <v>2</v>
      </c>
      <c r="I19" s="22" t="s">
        <v>388</v>
      </c>
      <c r="J19" s="23"/>
      <c r="K19" s="23">
        <f>SUM(J5:J18)</f>
        <v>7253</v>
      </c>
      <c r="L19" s="24"/>
    </row>
    <row r="20" spans="1:12" ht="27" thickBot="1" x14ac:dyDescent="0.45">
      <c r="A20" s="13" t="s">
        <v>500</v>
      </c>
      <c r="B20" s="14">
        <v>360</v>
      </c>
      <c r="C20" s="14" t="s">
        <v>6</v>
      </c>
      <c r="D20" s="15" t="s">
        <v>2</v>
      </c>
      <c r="E20" s="16" t="s">
        <v>388</v>
      </c>
      <c r="F20" s="17"/>
      <c r="G20" s="17">
        <f>SUM(F5:F19)</f>
        <v>7685</v>
      </c>
      <c r="H20" s="18"/>
      <c r="I20" s="144" t="s">
        <v>440</v>
      </c>
      <c r="J20" s="145"/>
      <c r="K20" s="145"/>
      <c r="L20" s="148"/>
    </row>
    <row r="21" spans="1:12" x14ac:dyDescent="0.4">
      <c r="A21" s="10" t="s">
        <v>388</v>
      </c>
      <c r="B21" s="11"/>
      <c r="C21" s="11">
        <f>SUM(B12:B20)</f>
        <v>2192</v>
      </c>
      <c r="D21" s="12">
        <f>C10+C21</f>
        <v>3253</v>
      </c>
      <c r="E21" s="139" t="s">
        <v>434</v>
      </c>
      <c r="F21" s="140"/>
      <c r="G21" s="140"/>
      <c r="H21" s="147"/>
      <c r="I21" s="22" t="s">
        <v>83</v>
      </c>
      <c r="J21" s="23">
        <v>289</v>
      </c>
      <c r="K21" s="23" t="s">
        <v>82</v>
      </c>
      <c r="L21" s="24" t="s">
        <v>2</v>
      </c>
    </row>
    <row r="22" spans="1:12" x14ac:dyDescent="0.4">
      <c r="A22" s="111" t="s">
        <v>437</v>
      </c>
      <c r="B22" s="112"/>
      <c r="C22" s="112"/>
      <c r="D22" s="113"/>
      <c r="E22" s="16" t="s">
        <v>397</v>
      </c>
      <c r="F22" s="17">
        <v>160</v>
      </c>
      <c r="G22" s="17" t="s">
        <v>54</v>
      </c>
      <c r="H22" s="18" t="s">
        <v>2</v>
      </c>
      <c r="I22" s="22" t="s">
        <v>84</v>
      </c>
      <c r="J22" s="23">
        <v>60</v>
      </c>
      <c r="K22" s="23" t="s">
        <v>82</v>
      </c>
      <c r="L22" s="24" t="s">
        <v>14</v>
      </c>
    </row>
    <row r="23" spans="1:12" x14ac:dyDescent="0.4">
      <c r="A23" s="10" t="s">
        <v>8</v>
      </c>
      <c r="B23" s="11">
        <v>451</v>
      </c>
      <c r="C23" s="11" t="s">
        <v>125</v>
      </c>
      <c r="D23" s="12" t="s">
        <v>2</v>
      </c>
      <c r="E23" s="16" t="s">
        <v>398</v>
      </c>
      <c r="F23" s="17">
        <v>25</v>
      </c>
      <c r="G23" s="17" t="s">
        <v>54</v>
      </c>
      <c r="H23" s="18" t="s">
        <v>12</v>
      </c>
      <c r="I23" s="22" t="s">
        <v>85</v>
      </c>
      <c r="J23" s="23">
        <v>40</v>
      </c>
      <c r="K23" s="23" t="s">
        <v>82</v>
      </c>
      <c r="L23" s="24" t="s">
        <v>16</v>
      </c>
    </row>
    <row r="24" spans="1:12" x14ac:dyDescent="0.4">
      <c r="A24" s="10" t="s">
        <v>9</v>
      </c>
      <c r="B24" s="11">
        <v>20</v>
      </c>
      <c r="C24" s="11" t="s">
        <v>125</v>
      </c>
      <c r="D24" s="12" t="s">
        <v>12</v>
      </c>
      <c r="E24" s="16" t="s">
        <v>399</v>
      </c>
      <c r="F24" s="17">
        <v>500</v>
      </c>
      <c r="G24" s="17" t="s">
        <v>54</v>
      </c>
      <c r="H24" s="18" t="s">
        <v>18</v>
      </c>
      <c r="I24" s="22" t="s">
        <v>86</v>
      </c>
      <c r="J24" s="23">
        <v>75</v>
      </c>
      <c r="K24" s="23" t="s">
        <v>82</v>
      </c>
      <c r="L24" s="24" t="s">
        <v>12</v>
      </c>
    </row>
    <row r="25" spans="1:12" ht="27" thickBot="1" x14ac:dyDescent="0.45">
      <c r="A25" s="10" t="s">
        <v>84</v>
      </c>
      <c r="B25" s="11">
        <v>40</v>
      </c>
      <c r="C25" s="11" t="s">
        <v>125</v>
      </c>
      <c r="D25" s="12" t="s">
        <v>14</v>
      </c>
      <c r="E25" s="16" t="s">
        <v>400</v>
      </c>
      <c r="F25" s="17">
        <v>500</v>
      </c>
      <c r="G25" s="17" t="s">
        <v>59</v>
      </c>
      <c r="H25" s="18" t="s">
        <v>18</v>
      </c>
      <c r="I25" s="25" t="s">
        <v>87</v>
      </c>
      <c r="J25" s="26">
        <v>187</v>
      </c>
      <c r="K25" s="26" t="s">
        <v>82</v>
      </c>
      <c r="L25" s="27" t="s">
        <v>2</v>
      </c>
    </row>
    <row r="26" spans="1:12" ht="27" thickBot="1" x14ac:dyDescent="0.45">
      <c r="A26" s="10" t="s">
        <v>15</v>
      </c>
      <c r="B26" s="11">
        <v>20</v>
      </c>
      <c r="C26" s="11" t="s">
        <v>125</v>
      </c>
      <c r="D26" s="12" t="s">
        <v>16</v>
      </c>
      <c r="E26" s="16" t="s">
        <v>401</v>
      </c>
      <c r="F26" s="17">
        <v>75</v>
      </c>
      <c r="G26" s="17" t="s">
        <v>54</v>
      </c>
      <c r="H26" s="18" t="s">
        <v>12</v>
      </c>
      <c r="I26" s="93" t="s">
        <v>388</v>
      </c>
      <c r="J26" s="94"/>
      <c r="K26" s="94">
        <f>SUM(J21:J25)</f>
        <v>651</v>
      </c>
      <c r="L26" s="95">
        <f>K19+K26</f>
        <v>7904</v>
      </c>
    </row>
    <row r="27" spans="1:12" ht="27" thickBot="1" x14ac:dyDescent="0.45">
      <c r="A27" s="10" t="s">
        <v>17</v>
      </c>
      <c r="B27" s="11">
        <v>500</v>
      </c>
      <c r="C27" s="11" t="s">
        <v>125</v>
      </c>
      <c r="D27" s="12" t="s">
        <v>18</v>
      </c>
      <c r="E27" s="16" t="s">
        <v>402</v>
      </c>
      <c r="F27" s="17">
        <v>25</v>
      </c>
      <c r="G27" s="17" t="s">
        <v>54</v>
      </c>
      <c r="H27" s="18" t="s">
        <v>2</v>
      </c>
      <c r="I27" s="25" t="s">
        <v>96</v>
      </c>
      <c r="J27" s="26">
        <f>SUM(J5:J26)</f>
        <v>7904</v>
      </c>
      <c r="K27" s="26"/>
      <c r="L27" s="27"/>
    </row>
    <row r="28" spans="1:12" ht="27" thickBot="1" x14ac:dyDescent="0.45">
      <c r="A28" s="10" t="s">
        <v>384</v>
      </c>
      <c r="B28" s="11">
        <v>99</v>
      </c>
      <c r="C28" s="11" t="s">
        <v>125</v>
      </c>
      <c r="D28" s="12" t="s">
        <v>2</v>
      </c>
      <c r="E28" s="19" t="s">
        <v>403</v>
      </c>
      <c r="F28" s="20">
        <v>75</v>
      </c>
      <c r="G28" s="20" t="s">
        <v>54</v>
      </c>
      <c r="H28" s="21" t="s">
        <v>2</v>
      </c>
    </row>
    <row r="29" spans="1:12" ht="27" thickBot="1" x14ac:dyDescent="0.45">
      <c r="A29" s="10" t="s">
        <v>385</v>
      </c>
      <c r="B29" s="11">
        <v>500</v>
      </c>
      <c r="C29" s="11" t="s">
        <v>125</v>
      </c>
      <c r="D29" s="12" t="s">
        <v>18</v>
      </c>
      <c r="E29" s="86" t="s">
        <v>388</v>
      </c>
      <c r="F29" s="87"/>
      <c r="G29" s="87">
        <f>SUM(F22:F28)</f>
        <v>1360</v>
      </c>
      <c r="H29" s="88">
        <f>G20+G29</f>
        <v>9045</v>
      </c>
      <c r="I29" s="1" t="s">
        <v>404</v>
      </c>
    </row>
    <row r="30" spans="1:12" ht="27" thickBot="1" x14ac:dyDescent="0.45">
      <c r="A30" s="13" t="s">
        <v>386</v>
      </c>
      <c r="B30" s="14">
        <v>40</v>
      </c>
      <c r="C30" s="14" t="s">
        <v>125</v>
      </c>
      <c r="D30" s="15" t="s">
        <v>16</v>
      </c>
      <c r="E30" s="19" t="s">
        <v>71</v>
      </c>
      <c r="F30" s="20">
        <f>SUM(F5:F29)</f>
        <v>9045</v>
      </c>
      <c r="G30" s="20"/>
      <c r="H30" s="21"/>
    </row>
    <row r="31" spans="1:12" x14ac:dyDescent="0.4">
      <c r="A31" s="10" t="s">
        <v>388</v>
      </c>
      <c r="B31" s="11"/>
      <c r="C31" s="11">
        <f>SUM(B23:B30)</f>
        <v>1670</v>
      </c>
      <c r="D31" s="12">
        <f>D21+C31</f>
        <v>4923</v>
      </c>
    </row>
    <row r="32" spans="1:12" x14ac:dyDescent="0.4">
      <c r="A32" s="111" t="s">
        <v>438</v>
      </c>
      <c r="B32" s="112"/>
      <c r="C32" s="112"/>
      <c r="D32" s="113"/>
      <c r="E32" s="1" t="s">
        <v>206</v>
      </c>
      <c r="F32" s="1">
        <f>B37+F30+J27</f>
        <v>22722</v>
      </c>
    </row>
    <row r="33" spans="1:4" x14ac:dyDescent="0.4">
      <c r="A33" s="10" t="s">
        <v>37</v>
      </c>
      <c r="B33" s="11">
        <v>310</v>
      </c>
      <c r="C33" s="11" t="s">
        <v>390</v>
      </c>
      <c r="D33" s="12" t="s">
        <v>2</v>
      </c>
    </row>
    <row r="34" spans="1:4" x14ac:dyDescent="0.4">
      <c r="A34" s="10" t="s">
        <v>42</v>
      </c>
      <c r="B34" s="11">
        <f>4973-4933</f>
        <v>40</v>
      </c>
      <c r="C34" s="11" t="s">
        <v>390</v>
      </c>
      <c r="D34" s="12" t="s">
        <v>12</v>
      </c>
    </row>
    <row r="35" spans="1:4" ht="27" thickBot="1" x14ac:dyDescent="0.45">
      <c r="A35" s="13" t="s">
        <v>387</v>
      </c>
      <c r="B35" s="14">
        <v>500</v>
      </c>
      <c r="C35" s="14" t="s">
        <v>390</v>
      </c>
      <c r="D35" s="15" t="s">
        <v>391</v>
      </c>
    </row>
    <row r="36" spans="1:4" ht="27" thickBot="1" x14ac:dyDescent="0.45">
      <c r="A36" s="76" t="s">
        <v>388</v>
      </c>
      <c r="B36" s="91"/>
      <c r="C36" s="91">
        <f>SUM(B33:B35)</f>
        <v>850</v>
      </c>
      <c r="D36" s="92">
        <f>D31+C36</f>
        <v>5773</v>
      </c>
    </row>
    <row r="37" spans="1:4" ht="27" thickBot="1" x14ac:dyDescent="0.45">
      <c r="A37" s="13" t="s">
        <v>97</v>
      </c>
      <c r="B37" s="14">
        <f>SUM(B2:B35)</f>
        <v>5773</v>
      </c>
      <c r="C37" s="14"/>
      <c r="D37" s="15"/>
    </row>
  </sheetData>
  <mergeCells count="12">
    <mergeCell ref="A32:D32"/>
    <mergeCell ref="E21:H21"/>
    <mergeCell ref="A11:D11"/>
    <mergeCell ref="A22:D22"/>
    <mergeCell ref="I20:L20"/>
    <mergeCell ref="A1:L1"/>
    <mergeCell ref="A2:D2"/>
    <mergeCell ref="E2:H2"/>
    <mergeCell ref="I2:L2"/>
    <mergeCell ref="A4:D4"/>
    <mergeCell ref="E4:H4"/>
    <mergeCell ref="I4:L4"/>
  </mergeCells>
  <pageMargins left="0.7" right="0.7" top="0.75" bottom="0.75" header="0.3" footer="0.3"/>
  <pageSetup orientation="portrait" horizontalDpi="300" verticalDpi="3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2B1A8-31C4-42F7-8736-D22BBF91EC87}">
  <dimension ref="A1:R72"/>
  <sheetViews>
    <sheetView zoomScale="70" zoomScaleNormal="70" workbookViewId="0">
      <selection activeCell="A2" sqref="A2:D2"/>
    </sheetView>
  </sheetViews>
  <sheetFormatPr defaultRowHeight="26.25" x14ac:dyDescent="0.4"/>
  <cols>
    <col min="1" max="1" width="118.28515625" style="1" bestFit="1" customWidth="1"/>
    <col min="2" max="2" width="17.85546875" style="1" bestFit="1" customWidth="1"/>
    <col min="3" max="3" width="36" style="1" bestFit="1" customWidth="1"/>
    <col min="4" max="4" width="48.28515625" style="1" bestFit="1" customWidth="1"/>
    <col min="5" max="5" width="92.7109375" style="1" bestFit="1" customWidth="1"/>
    <col min="6" max="6" width="14.42578125" style="1" customWidth="1"/>
    <col min="7" max="7" width="57.42578125" style="1" bestFit="1" customWidth="1"/>
    <col min="8" max="8" width="58.7109375" style="1" bestFit="1" customWidth="1"/>
    <col min="9" max="9" width="101" style="1" bestFit="1" customWidth="1"/>
    <col min="10" max="10" width="14.42578125" style="1" bestFit="1" customWidth="1"/>
    <col min="11" max="11" width="50.7109375" style="1" bestFit="1" customWidth="1"/>
    <col min="12" max="12" width="49.140625" style="1" bestFit="1" customWidth="1"/>
    <col min="13" max="13" width="12" style="1" bestFit="1" customWidth="1"/>
    <col min="14" max="16384" width="9.140625" style="1"/>
  </cols>
  <sheetData>
    <row r="1" spans="1:18" ht="27" thickBot="1" x14ac:dyDescent="0.45">
      <c r="A1" s="149" t="str">
        <f>"Lost Cities (total " &amp; F33 &amp; ")"</f>
        <v>Lost Cities (total 34648)</v>
      </c>
      <c r="B1" s="150"/>
      <c r="C1" s="150"/>
      <c r="D1" s="150"/>
      <c r="E1" s="150"/>
      <c r="F1" s="150"/>
      <c r="G1" s="150"/>
      <c r="H1" s="150"/>
      <c r="I1" s="150"/>
      <c r="J1" s="150"/>
      <c r="K1" s="150"/>
      <c r="L1" s="151"/>
      <c r="N1" s="2"/>
      <c r="P1" s="2"/>
      <c r="R1" s="2"/>
    </row>
    <row r="2" spans="1:18" ht="27" thickBot="1" x14ac:dyDescent="0.45">
      <c r="A2" s="117" t="s">
        <v>98</v>
      </c>
      <c r="B2" s="118"/>
      <c r="C2" s="118"/>
      <c r="D2" s="119"/>
      <c r="E2" s="120" t="s">
        <v>146</v>
      </c>
      <c r="F2" s="121"/>
      <c r="G2" s="121"/>
      <c r="H2" s="122"/>
      <c r="I2" s="123" t="s">
        <v>170</v>
      </c>
      <c r="J2" s="124"/>
      <c r="K2" s="124"/>
      <c r="L2" s="125"/>
    </row>
    <row r="3" spans="1:18" ht="27" thickBot="1" x14ac:dyDescent="0.45">
      <c r="A3" s="36" t="s">
        <v>0</v>
      </c>
      <c r="B3" s="37" t="s">
        <v>1</v>
      </c>
      <c r="C3" s="37" t="s">
        <v>19</v>
      </c>
      <c r="D3" s="38" t="s">
        <v>20</v>
      </c>
      <c r="E3" s="39" t="s">
        <v>0</v>
      </c>
      <c r="F3" s="39" t="s">
        <v>1</v>
      </c>
      <c r="G3" s="39" t="s">
        <v>19</v>
      </c>
      <c r="H3" s="40" t="s">
        <v>20</v>
      </c>
      <c r="I3" s="41" t="s">
        <v>0</v>
      </c>
      <c r="J3" s="42" t="s">
        <v>1</v>
      </c>
      <c r="K3" s="42" t="s">
        <v>19</v>
      </c>
      <c r="L3" s="43" t="s">
        <v>20</v>
      </c>
    </row>
    <row r="4" spans="1:18" x14ac:dyDescent="0.4">
      <c r="A4" s="111" t="s">
        <v>441</v>
      </c>
      <c r="B4" s="112"/>
      <c r="C4" s="112"/>
      <c r="D4" s="113"/>
      <c r="E4" s="132" t="s">
        <v>455</v>
      </c>
      <c r="F4" s="133"/>
      <c r="G4" s="133"/>
      <c r="H4" s="133"/>
      <c r="I4" s="134" t="s">
        <v>446</v>
      </c>
      <c r="J4" s="135"/>
      <c r="K4" s="135"/>
      <c r="L4" s="152"/>
    </row>
    <row r="5" spans="1:18" x14ac:dyDescent="0.4">
      <c r="A5" s="10" t="s">
        <v>100</v>
      </c>
      <c r="B5" s="11">
        <v>722</v>
      </c>
      <c r="C5" s="11" t="s">
        <v>2</v>
      </c>
      <c r="D5" s="12" t="s">
        <v>2</v>
      </c>
      <c r="E5" s="16" t="s">
        <v>149</v>
      </c>
      <c r="F5" s="17">
        <v>507</v>
      </c>
      <c r="G5" s="17" t="s">
        <v>2</v>
      </c>
      <c r="H5" s="17" t="s">
        <v>2</v>
      </c>
      <c r="I5" s="22" t="s">
        <v>172</v>
      </c>
      <c r="J5" s="23">
        <v>240</v>
      </c>
      <c r="K5" s="23" t="s">
        <v>2</v>
      </c>
      <c r="L5" s="24" t="s">
        <v>2</v>
      </c>
    </row>
    <row r="6" spans="1:18" ht="27" thickBot="1" x14ac:dyDescent="0.45">
      <c r="A6" s="10" t="s">
        <v>25</v>
      </c>
      <c r="B6" s="11">
        <v>750</v>
      </c>
      <c r="C6" s="11" t="s">
        <v>2</v>
      </c>
      <c r="D6" s="12" t="s">
        <v>26</v>
      </c>
      <c r="E6" s="16" t="s">
        <v>148</v>
      </c>
      <c r="F6" s="17">
        <v>125</v>
      </c>
      <c r="G6" s="17" t="s">
        <v>2</v>
      </c>
      <c r="H6" s="17" t="s">
        <v>77</v>
      </c>
      <c r="I6" s="25" t="s">
        <v>174</v>
      </c>
      <c r="J6" s="26">
        <v>125</v>
      </c>
      <c r="K6" s="26" t="s">
        <v>2</v>
      </c>
      <c r="L6" s="27" t="s">
        <v>12</v>
      </c>
    </row>
    <row r="7" spans="1:18" x14ac:dyDescent="0.4">
      <c r="A7" s="10" t="s">
        <v>101</v>
      </c>
      <c r="B7" s="11">
        <f>350-75</f>
        <v>275</v>
      </c>
      <c r="C7" s="11" t="s">
        <v>2</v>
      </c>
      <c r="D7" s="12" t="s">
        <v>28</v>
      </c>
      <c r="E7" s="16" t="s">
        <v>84</v>
      </c>
      <c r="F7" s="17">
        <v>80</v>
      </c>
      <c r="G7" s="17" t="s">
        <v>2</v>
      </c>
      <c r="H7" s="17" t="s">
        <v>14</v>
      </c>
      <c r="I7" s="22" t="s">
        <v>388</v>
      </c>
      <c r="J7" s="23"/>
      <c r="K7" s="23">
        <f>J5+J6</f>
        <v>365</v>
      </c>
      <c r="L7" s="24"/>
    </row>
    <row r="8" spans="1:18" ht="27" thickBot="1" x14ac:dyDescent="0.45">
      <c r="A8" s="10" t="s">
        <v>103</v>
      </c>
      <c r="B8" s="11">
        <v>200</v>
      </c>
      <c r="C8" s="11" t="s">
        <v>2</v>
      </c>
      <c r="D8" s="12" t="s">
        <v>6</v>
      </c>
      <c r="E8" s="19" t="s">
        <v>150</v>
      </c>
      <c r="F8" s="20">
        <v>20</v>
      </c>
      <c r="G8" s="20" t="s">
        <v>2</v>
      </c>
      <c r="H8" s="21" t="s">
        <v>151</v>
      </c>
      <c r="I8" s="144" t="s">
        <v>447</v>
      </c>
      <c r="J8" s="145"/>
      <c r="K8" s="145"/>
      <c r="L8" s="148"/>
    </row>
    <row r="9" spans="1:18" x14ac:dyDescent="0.4">
      <c r="A9" s="10" t="s">
        <v>104</v>
      </c>
      <c r="B9" s="11">
        <v>175</v>
      </c>
      <c r="C9" s="11" t="s">
        <v>2</v>
      </c>
      <c r="D9" s="12" t="s">
        <v>105</v>
      </c>
      <c r="E9" s="16" t="s">
        <v>388</v>
      </c>
      <c r="F9" s="17"/>
      <c r="G9" s="17">
        <f>SUM(F5:F8)</f>
        <v>732</v>
      </c>
      <c r="H9" s="17"/>
      <c r="I9" s="22" t="s">
        <v>430</v>
      </c>
      <c r="J9" s="23">
        <v>15</v>
      </c>
      <c r="K9" s="23" t="s">
        <v>89</v>
      </c>
      <c r="L9" s="24" t="s">
        <v>2</v>
      </c>
    </row>
    <row r="10" spans="1:18" x14ac:dyDescent="0.4">
      <c r="A10" s="10" t="s">
        <v>85</v>
      </c>
      <c r="B10" s="11">
        <v>60</v>
      </c>
      <c r="C10" s="11" t="s">
        <v>2</v>
      </c>
      <c r="D10" s="12" t="s">
        <v>16</v>
      </c>
      <c r="E10" s="139" t="s">
        <v>456</v>
      </c>
      <c r="F10" s="140"/>
      <c r="G10" s="140"/>
      <c r="H10" s="147"/>
      <c r="I10" s="22" t="s">
        <v>429</v>
      </c>
      <c r="J10" s="23">
        <v>225</v>
      </c>
      <c r="K10" s="23" t="s">
        <v>89</v>
      </c>
      <c r="L10" s="24" t="s">
        <v>32</v>
      </c>
    </row>
    <row r="11" spans="1:18" x14ac:dyDescent="0.4">
      <c r="A11" s="10" t="s">
        <v>134</v>
      </c>
      <c r="B11" s="11">
        <v>20</v>
      </c>
      <c r="C11" s="11" t="s">
        <v>2</v>
      </c>
      <c r="D11" s="12" t="s">
        <v>14</v>
      </c>
      <c r="E11" s="16" t="s">
        <v>152</v>
      </c>
      <c r="F11" s="17">
        <v>75</v>
      </c>
      <c r="G11" s="17" t="s">
        <v>502</v>
      </c>
      <c r="H11" s="17" t="s">
        <v>2</v>
      </c>
      <c r="I11" s="22" t="s">
        <v>419</v>
      </c>
      <c r="J11" s="23">
        <v>579</v>
      </c>
      <c r="K11" s="23" t="s">
        <v>89</v>
      </c>
      <c r="L11" s="24" t="s">
        <v>2</v>
      </c>
    </row>
    <row r="12" spans="1:18" x14ac:dyDescent="0.4">
      <c r="A12" s="10" t="s">
        <v>135</v>
      </c>
      <c r="B12" s="11">
        <f>765-175</f>
        <v>590</v>
      </c>
      <c r="C12" s="11" t="s">
        <v>2</v>
      </c>
      <c r="D12" s="12" t="s">
        <v>12</v>
      </c>
      <c r="E12" s="16" t="s">
        <v>153</v>
      </c>
      <c r="F12" s="17">
        <v>1500</v>
      </c>
      <c r="G12" s="17" t="s">
        <v>502</v>
      </c>
      <c r="H12" s="17" t="s">
        <v>2</v>
      </c>
      <c r="I12" s="22" t="s">
        <v>420</v>
      </c>
      <c r="J12" s="23">
        <v>25</v>
      </c>
      <c r="K12" s="23" t="s">
        <v>89</v>
      </c>
      <c r="L12" s="24" t="s">
        <v>12</v>
      </c>
    </row>
    <row r="13" spans="1:18" x14ac:dyDescent="0.4">
      <c r="A13" s="10" t="s">
        <v>504</v>
      </c>
      <c r="B13" s="11">
        <v>175</v>
      </c>
      <c r="C13" s="11" t="s">
        <v>89</v>
      </c>
      <c r="D13" s="12" t="s">
        <v>32</v>
      </c>
      <c r="E13" s="16" t="s">
        <v>159</v>
      </c>
      <c r="F13" s="17">
        <v>730</v>
      </c>
      <c r="G13" s="17" t="s">
        <v>32</v>
      </c>
      <c r="H13" s="17" t="s">
        <v>2</v>
      </c>
      <c r="I13" s="22" t="s">
        <v>421</v>
      </c>
      <c r="J13" s="23">
        <v>397</v>
      </c>
      <c r="K13" s="23" t="s">
        <v>178</v>
      </c>
      <c r="L13" s="24" t="s">
        <v>2</v>
      </c>
    </row>
    <row r="14" spans="1:18" x14ac:dyDescent="0.4">
      <c r="A14" s="10" t="s">
        <v>505</v>
      </c>
      <c r="B14" s="11">
        <v>75</v>
      </c>
      <c r="C14" s="11" t="s">
        <v>89</v>
      </c>
      <c r="D14" s="12" t="s">
        <v>32</v>
      </c>
      <c r="E14" s="16" t="s">
        <v>148</v>
      </c>
      <c r="F14" s="17">
        <v>125</v>
      </c>
      <c r="G14" s="17" t="s">
        <v>32</v>
      </c>
      <c r="H14" s="17" t="s">
        <v>77</v>
      </c>
      <c r="I14" s="22" t="s">
        <v>422</v>
      </c>
      <c r="J14" s="23">
        <v>1500</v>
      </c>
      <c r="K14" s="23" t="s">
        <v>178</v>
      </c>
      <c r="L14" s="24" t="s">
        <v>18</v>
      </c>
    </row>
    <row r="15" spans="1:18" x14ac:dyDescent="0.4">
      <c r="A15" s="10" t="s">
        <v>408</v>
      </c>
      <c r="B15" s="11">
        <v>100</v>
      </c>
      <c r="C15" s="11" t="s">
        <v>89</v>
      </c>
      <c r="D15" s="12" t="s">
        <v>32</v>
      </c>
      <c r="E15" s="16" t="s">
        <v>85</v>
      </c>
      <c r="F15" s="17">
        <v>20</v>
      </c>
      <c r="G15" s="17" t="s">
        <v>32</v>
      </c>
      <c r="H15" s="17" t="s">
        <v>16</v>
      </c>
      <c r="I15" s="22" t="s">
        <v>431</v>
      </c>
      <c r="J15" s="23">
        <v>76</v>
      </c>
      <c r="K15" s="23" t="s">
        <v>89</v>
      </c>
      <c r="L15" s="24" t="s">
        <v>2</v>
      </c>
    </row>
    <row r="16" spans="1:18" ht="27" thickBot="1" x14ac:dyDescent="0.45">
      <c r="A16" s="13" t="s">
        <v>412</v>
      </c>
      <c r="B16" s="14">
        <v>300</v>
      </c>
      <c r="C16" s="14" t="s">
        <v>89</v>
      </c>
      <c r="D16" s="15" t="s">
        <v>32</v>
      </c>
      <c r="E16" s="16" t="s">
        <v>160</v>
      </c>
      <c r="F16" s="17">
        <v>20</v>
      </c>
      <c r="G16" s="17" t="s">
        <v>32</v>
      </c>
      <c r="H16" s="17" t="s">
        <v>14</v>
      </c>
      <c r="I16" s="22" t="s">
        <v>432</v>
      </c>
      <c r="J16" s="23">
        <v>250</v>
      </c>
      <c r="K16" s="23" t="s">
        <v>89</v>
      </c>
      <c r="L16" s="24" t="s">
        <v>32</v>
      </c>
    </row>
    <row r="17" spans="1:12" ht="27" thickBot="1" x14ac:dyDescent="0.45">
      <c r="A17" s="10" t="s">
        <v>388</v>
      </c>
      <c r="B17" s="11"/>
      <c r="C17" s="11">
        <f>SUM(B5:B16)</f>
        <v>3442</v>
      </c>
      <c r="D17" s="12"/>
      <c r="E17" s="19" t="s">
        <v>161</v>
      </c>
      <c r="F17" s="20">
        <v>500</v>
      </c>
      <c r="G17" s="20" t="s">
        <v>32</v>
      </c>
      <c r="H17" s="21" t="s">
        <v>18</v>
      </c>
      <c r="I17" s="22" t="s">
        <v>423</v>
      </c>
      <c r="J17" s="23">
        <f>1793+125</f>
        <v>1918</v>
      </c>
      <c r="K17" s="23" t="s">
        <v>89</v>
      </c>
      <c r="L17" s="24" t="s">
        <v>2</v>
      </c>
    </row>
    <row r="18" spans="1:12" x14ac:dyDescent="0.4">
      <c r="A18" s="111" t="s">
        <v>442</v>
      </c>
      <c r="B18" s="112"/>
      <c r="C18" s="112"/>
      <c r="D18" s="113"/>
      <c r="E18" s="16" t="s">
        <v>388</v>
      </c>
      <c r="F18" s="17"/>
      <c r="G18" s="17">
        <f>SUM(F11:F17)</f>
        <v>2970</v>
      </c>
      <c r="H18" s="17">
        <f>G9+G18</f>
        <v>3702</v>
      </c>
      <c r="I18" s="22" t="s">
        <v>424</v>
      </c>
      <c r="J18" s="23">
        <v>50</v>
      </c>
      <c r="K18" s="23" t="s">
        <v>89</v>
      </c>
      <c r="L18" s="24" t="s">
        <v>105</v>
      </c>
    </row>
    <row r="19" spans="1:12" x14ac:dyDescent="0.4">
      <c r="A19" s="10" t="s">
        <v>409</v>
      </c>
      <c r="B19" s="11">
        <v>25</v>
      </c>
      <c r="C19" s="11" t="s">
        <v>6</v>
      </c>
      <c r="D19" s="12" t="s">
        <v>12</v>
      </c>
      <c r="E19" s="139" t="s">
        <v>454</v>
      </c>
      <c r="F19" s="140"/>
      <c r="G19" s="140"/>
      <c r="H19" s="147"/>
      <c r="I19" s="22" t="s">
        <v>425</v>
      </c>
      <c r="J19" s="23">
        <v>100</v>
      </c>
      <c r="K19" s="23" t="s">
        <v>89</v>
      </c>
      <c r="L19" s="24" t="s">
        <v>12</v>
      </c>
    </row>
    <row r="20" spans="1:12" x14ac:dyDescent="0.4">
      <c r="A20" s="10" t="s">
        <v>410</v>
      </c>
      <c r="B20" s="11">
        <v>50</v>
      </c>
      <c r="C20" s="11" t="s">
        <v>6</v>
      </c>
      <c r="D20" s="12" t="s">
        <v>2</v>
      </c>
      <c r="E20" s="30" t="s">
        <v>265</v>
      </c>
      <c r="F20" s="17">
        <v>1225</v>
      </c>
      <c r="G20" s="17" t="s">
        <v>501</v>
      </c>
      <c r="H20" s="17" t="s">
        <v>2</v>
      </c>
      <c r="I20" s="22" t="s">
        <v>426</v>
      </c>
      <c r="J20" s="23">
        <v>50</v>
      </c>
      <c r="K20" s="23" t="s">
        <v>185</v>
      </c>
      <c r="L20" s="24" t="s">
        <v>2</v>
      </c>
    </row>
    <row r="21" spans="1:12" x14ac:dyDescent="0.4">
      <c r="A21" s="10" t="s">
        <v>411</v>
      </c>
      <c r="B21" s="11">
        <v>98</v>
      </c>
      <c r="C21" s="11" t="s">
        <v>6</v>
      </c>
      <c r="D21" s="12" t="s">
        <v>2</v>
      </c>
      <c r="E21" s="16" t="s">
        <v>147</v>
      </c>
      <c r="F21" s="17">
        <v>475</v>
      </c>
      <c r="G21" s="17" t="s">
        <v>501</v>
      </c>
      <c r="H21" s="17" t="s">
        <v>77</v>
      </c>
      <c r="I21" s="22" t="s">
        <v>427</v>
      </c>
      <c r="J21" s="23">
        <v>1500</v>
      </c>
      <c r="K21" s="23" t="s">
        <v>187</v>
      </c>
      <c r="L21" s="24" t="s">
        <v>18</v>
      </c>
    </row>
    <row r="22" spans="1:12" x14ac:dyDescent="0.4">
      <c r="A22" s="10" t="s">
        <v>413</v>
      </c>
      <c r="B22" s="11">
        <v>20</v>
      </c>
      <c r="C22" s="11" t="s">
        <v>6</v>
      </c>
      <c r="D22" s="12" t="s">
        <v>14</v>
      </c>
      <c r="E22" s="16" t="s">
        <v>160</v>
      </c>
      <c r="F22" s="17">
        <v>40</v>
      </c>
      <c r="G22" s="17" t="s">
        <v>501</v>
      </c>
      <c r="H22" s="17" t="s">
        <v>14</v>
      </c>
      <c r="I22" s="22" t="s">
        <v>428</v>
      </c>
      <c r="J22" s="23">
        <v>50</v>
      </c>
      <c r="K22" s="23" t="s">
        <v>187</v>
      </c>
      <c r="L22" s="24" t="s">
        <v>12</v>
      </c>
    </row>
    <row r="23" spans="1:12" x14ac:dyDescent="0.4">
      <c r="A23" s="10" t="s">
        <v>414</v>
      </c>
      <c r="B23" s="11">
        <v>2000</v>
      </c>
      <c r="C23" s="11" t="s">
        <v>6</v>
      </c>
      <c r="D23" s="12" t="s">
        <v>66</v>
      </c>
      <c r="E23" s="16" t="s">
        <v>499</v>
      </c>
      <c r="F23" s="17">
        <v>200</v>
      </c>
      <c r="G23" s="17" t="s">
        <v>501</v>
      </c>
      <c r="H23" s="17" t="s">
        <v>2</v>
      </c>
      <c r="I23" s="22" t="s">
        <v>364</v>
      </c>
      <c r="J23" s="23">
        <v>1114</v>
      </c>
      <c r="K23" s="23" t="s">
        <v>89</v>
      </c>
      <c r="L23" s="24" t="s">
        <v>2</v>
      </c>
    </row>
    <row r="24" spans="1:12" ht="27" thickBot="1" x14ac:dyDescent="0.45">
      <c r="A24" s="10" t="s">
        <v>415</v>
      </c>
      <c r="B24" s="11">
        <v>1000</v>
      </c>
      <c r="C24" s="11" t="s">
        <v>418</v>
      </c>
      <c r="D24" s="12" t="s">
        <v>2</v>
      </c>
      <c r="E24" s="19" t="s">
        <v>500</v>
      </c>
      <c r="F24" s="20">
        <v>200</v>
      </c>
      <c r="G24" s="20" t="s">
        <v>501</v>
      </c>
      <c r="H24" s="21" t="s">
        <v>2</v>
      </c>
      <c r="I24" s="25" t="s">
        <v>365</v>
      </c>
      <c r="J24" s="26">
        <v>1034</v>
      </c>
      <c r="K24" s="26" t="s">
        <v>89</v>
      </c>
      <c r="L24" s="27" t="s">
        <v>2</v>
      </c>
    </row>
    <row r="25" spans="1:12" x14ac:dyDescent="0.4">
      <c r="A25" s="10" t="s">
        <v>416</v>
      </c>
      <c r="B25" s="11">
        <v>50</v>
      </c>
      <c r="C25" s="11" t="s">
        <v>418</v>
      </c>
      <c r="D25" s="12" t="s">
        <v>2</v>
      </c>
      <c r="E25" s="16" t="s">
        <v>388</v>
      </c>
      <c r="F25" s="17"/>
      <c r="G25" s="17">
        <f>SUM(F20:F24)</f>
        <v>2140</v>
      </c>
      <c r="H25" s="17">
        <f>H18+G25</f>
        <v>5842</v>
      </c>
      <c r="I25" s="22" t="s">
        <v>388</v>
      </c>
      <c r="J25" s="23"/>
      <c r="K25" s="23">
        <f>SUM(J9:J24)</f>
        <v>8883</v>
      </c>
      <c r="L25" s="24">
        <f>K7+K25</f>
        <v>9248</v>
      </c>
    </row>
    <row r="26" spans="1:12" x14ac:dyDescent="0.4">
      <c r="A26" s="10" t="s">
        <v>417</v>
      </c>
      <c r="B26" s="11">
        <v>20</v>
      </c>
      <c r="C26" s="11" t="s">
        <v>125</v>
      </c>
      <c r="D26" s="12" t="s">
        <v>2</v>
      </c>
      <c r="E26" s="139" t="s">
        <v>457</v>
      </c>
      <c r="F26" s="140"/>
      <c r="G26" s="140"/>
      <c r="H26" s="147"/>
      <c r="I26" s="144" t="s">
        <v>448</v>
      </c>
      <c r="J26" s="145"/>
      <c r="K26" s="145"/>
      <c r="L26" s="148"/>
    </row>
    <row r="27" spans="1:12" x14ac:dyDescent="0.4">
      <c r="A27" s="10" t="s">
        <v>451</v>
      </c>
      <c r="B27" s="11">
        <v>525</v>
      </c>
      <c r="C27" s="11" t="s">
        <v>6</v>
      </c>
      <c r="D27" s="12" t="s">
        <v>2</v>
      </c>
      <c r="E27" s="16" t="s">
        <v>165</v>
      </c>
      <c r="F27" s="17">
        <v>715</v>
      </c>
      <c r="G27" s="17" t="s">
        <v>503</v>
      </c>
      <c r="H27" s="17" t="s">
        <v>2</v>
      </c>
      <c r="I27" s="22" t="s">
        <v>175</v>
      </c>
      <c r="J27" s="23">
        <v>606</v>
      </c>
      <c r="K27" s="23" t="s">
        <v>191</v>
      </c>
      <c r="L27" s="24" t="s">
        <v>2</v>
      </c>
    </row>
    <row r="28" spans="1:12" ht="27" thickBot="1" x14ac:dyDescent="0.45">
      <c r="A28" s="13" t="s">
        <v>452</v>
      </c>
      <c r="B28" s="14">
        <v>25</v>
      </c>
      <c r="C28" s="14" t="s">
        <v>6</v>
      </c>
      <c r="D28" s="15" t="s">
        <v>12</v>
      </c>
      <c r="E28" s="16" t="s">
        <v>166</v>
      </c>
      <c r="F28" s="17">
        <v>100</v>
      </c>
      <c r="G28" s="17" t="s">
        <v>503</v>
      </c>
      <c r="H28" s="17" t="s">
        <v>2</v>
      </c>
      <c r="I28" s="25" t="s">
        <v>196</v>
      </c>
      <c r="J28" s="26">
        <v>150</v>
      </c>
      <c r="K28" s="26" t="s">
        <v>197</v>
      </c>
      <c r="L28" s="27" t="s">
        <v>2</v>
      </c>
    </row>
    <row r="29" spans="1:12" ht="27" thickBot="1" x14ac:dyDescent="0.45">
      <c r="A29" s="10" t="s">
        <v>388</v>
      </c>
      <c r="B29" s="11"/>
      <c r="C29" s="11">
        <f>SUM(B19:B28)</f>
        <v>3813</v>
      </c>
      <c r="D29" s="12">
        <f>C17+C29</f>
        <v>7255</v>
      </c>
      <c r="E29" s="19" t="s">
        <v>167</v>
      </c>
      <c r="F29" s="20">
        <v>500</v>
      </c>
      <c r="G29" s="17" t="s">
        <v>503</v>
      </c>
      <c r="H29" s="21" t="s">
        <v>18</v>
      </c>
      <c r="I29" s="22" t="s">
        <v>388</v>
      </c>
      <c r="J29" s="23"/>
      <c r="K29" s="23">
        <f>J27+J28</f>
        <v>756</v>
      </c>
      <c r="L29" s="24">
        <f>L25+K29</f>
        <v>10004</v>
      </c>
    </row>
    <row r="30" spans="1:12" ht="27" thickBot="1" x14ac:dyDescent="0.45">
      <c r="A30" s="111" t="s">
        <v>443</v>
      </c>
      <c r="B30" s="112"/>
      <c r="C30" s="112"/>
      <c r="D30" s="113"/>
      <c r="E30" s="86" t="s">
        <v>388</v>
      </c>
      <c r="F30" s="87"/>
      <c r="G30" s="87">
        <f>SUM(F27:F29)</f>
        <v>1315</v>
      </c>
      <c r="H30" s="88">
        <f>H25+G30</f>
        <v>7157</v>
      </c>
      <c r="I30" s="144" t="s">
        <v>449</v>
      </c>
      <c r="J30" s="145"/>
      <c r="K30" s="145"/>
      <c r="L30" s="148"/>
    </row>
    <row r="31" spans="1:12" ht="27" thickBot="1" x14ac:dyDescent="0.45">
      <c r="A31" s="10" t="s">
        <v>4</v>
      </c>
      <c r="B31" s="11">
        <v>239</v>
      </c>
      <c r="C31" s="11" t="s">
        <v>82</v>
      </c>
      <c r="D31" s="12" t="s">
        <v>2</v>
      </c>
      <c r="E31" s="19" t="s">
        <v>145</v>
      </c>
      <c r="F31" s="20">
        <f>SUM(F5:F30)</f>
        <v>7157</v>
      </c>
      <c r="G31" s="20"/>
      <c r="H31" s="20"/>
      <c r="I31" s="22" t="s">
        <v>175</v>
      </c>
      <c r="J31" s="23">
        <f>540+1701</f>
        <v>2241</v>
      </c>
      <c r="K31" s="23" t="s">
        <v>198</v>
      </c>
      <c r="L31" s="24" t="s">
        <v>2</v>
      </c>
    </row>
    <row r="32" spans="1:12" x14ac:dyDescent="0.4">
      <c r="A32" s="10" t="s">
        <v>85</v>
      </c>
      <c r="B32" s="11">
        <v>20</v>
      </c>
      <c r="C32" s="11" t="s">
        <v>82</v>
      </c>
      <c r="D32" s="12" t="s">
        <v>16</v>
      </c>
      <c r="I32" s="22" t="s">
        <v>200</v>
      </c>
      <c r="J32" s="23">
        <v>208</v>
      </c>
      <c r="K32" s="23" t="s">
        <v>201</v>
      </c>
      <c r="L32" s="24" t="s">
        <v>2</v>
      </c>
    </row>
    <row r="33" spans="1:12" ht="27" thickBot="1" x14ac:dyDescent="0.45">
      <c r="A33" s="10" t="s">
        <v>25</v>
      </c>
      <c r="B33" s="11">
        <v>125</v>
      </c>
      <c r="C33" s="11" t="s">
        <v>82</v>
      </c>
      <c r="D33" s="12" t="s">
        <v>26</v>
      </c>
      <c r="E33" s="1" t="s">
        <v>204</v>
      </c>
      <c r="F33" s="1">
        <f>B60+F31+J38</f>
        <v>34648</v>
      </c>
      <c r="I33" s="25" t="s">
        <v>202</v>
      </c>
      <c r="J33" s="26">
        <v>1500</v>
      </c>
      <c r="K33" s="26" t="s">
        <v>198</v>
      </c>
      <c r="L33" s="27" t="s">
        <v>18</v>
      </c>
    </row>
    <row r="34" spans="1:12" x14ac:dyDescent="0.4">
      <c r="A34" s="10" t="s">
        <v>103</v>
      </c>
      <c r="B34" s="11">
        <v>50</v>
      </c>
      <c r="C34" s="11" t="s">
        <v>82</v>
      </c>
      <c r="D34" s="12" t="s">
        <v>6</v>
      </c>
      <c r="I34" s="22" t="s">
        <v>388</v>
      </c>
      <c r="J34" s="23"/>
      <c r="K34" s="23">
        <f>SUM(J31:J33)</f>
        <v>3949</v>
      </c>
      <c r="L34" s="24">
        <f>L29+K34</f>
        <v>13953</v>
      </c>
    </row>
    <row r="35" spans="1:12" x14ac:dyDescent="0.4">
      <c r="A35" s="10" t="s">
        <v>112</v>
      </c>
      <c r="B35" s="11">
        <v>40</v>
      </c>
      <c r="C35" s="11" t="s">
        <v>82</v>
      </c>
      <c r="D35" s="12" t="s">
        <v>12</v>
      </c>
      <c r="I35" s="144" t="s">
        <v>450</v>
      </c>
      <c r="J35" s="145"/>
      <c r="K35" s="145"/>
      <c r="L35" s="148"/>
    </row>
    <row r="36" spans="1:12" ht="27" thickBot="1" x14ac:dyDescent="0.45">
      <c r="A36" s="10" t="s">
        <v>101</v>
      </c>
      <c r="B36" s="11">
        <v>50</v>
      </c>
      <c r="C36" s="11" t="s">
        <v>82</v>
      </c>
      <c r="D36" s="12" t="s">
        <v>28</v>
      </c>
      <c r="I36" s="25" t="s">
        <v>175</v>
      </c>
      <c r="J36" s="26">
        <f>150+542</f>
        <v>692</v>
      </c>
      <c r="K36" s="26" t="s">
        <v>201</v>
      </c>
      <c r="L36" s="27" t="s">
        <v>2</v>
      </c>
    </row>
    <row r="37" spans="1:12" ht="27" thickBot="1" x14ac:dyDescent="0.45">
      <c r="A37" s="10" t="s">
        <v>117</v>
      </c>
      <c r="B37" s="11">
        <v>125</v>
      </c>
      <c r="C37" s="11" t="s">
        <v>115</v>
      </c>
      <c r="D37" s="12" t="s">
        <v>2</v>
      </c>
      <c r="I37" s="93" t="s">
        <v>388</v>
      </c>
      <c r="J37" s="94"/>
      <c r="K37" s="94">
        <f>J36</f>
        <v>692</v>
      </c>
      <c r="L37" s="95">
        <f>L34+K37</f>
        <v>14645</v>
      </c>
    </row>
    <row r="38" spans="1:12" ht="27" thickBot="1" x14ac:dyDescent="0.45">
      <c r="A38" s="10" t="s">
        <v>116</v>
      </c>
      <c r="B38" s="11">
        <v>40</v>
      </c>
      <c r="C38" s="11" t="s">
        <v>115</v>
      </c>
      <c r="D38" s="12" t="s">
        <v>12</v>
      </c>
      <c r="I38" s="25" t="s">
        <v>171</v>
      </c>
      <c r="J38" s="26">
        <f>SUM(J5:J37)</f>
        <v>14645</v>
      </c>
      <c r="K38" s="26"/>
      <c r="L38" s="27"/>
    </row>
    <row r="39" spans="1:12" ht="27" thickBot="1" x14ac:dyDescent="0.45">
      <c r="A39" s="13" t="s">
        <v>118</v>
      </c>
      <c r="B39" s="14">
        <v>20</v>
      </c>
      <c r="C39" s="14" t="s">
        <v>115</v>
      </c>
      <c r="D39" s="15" t="s">
        <v>16</v>
      </c>
    </row>
    <row r="40" spans="1:12" x14ac:dyDescent="0.4">
      <c r="A40" s="10" t="s">
        <v>388</v>
      </c>
      <c r="B40" s="11"/>
      <c r="C40" s="11">
        <f>SUM(B31:B39)</f>
        <v>709</v>
      </c>
      <c r="D40" s="12">
        <f>D29+C40</f>
        <v>7964</v>
      </c>
    </row>
    <row r="41" spans="1:12" x14ac:dyDescent="0.4">
      <c r="A41" s="111" t="s">
        <v>444</v>
      </c>
      <c r="B41" s="112"/>
      <c r="C41" s="112"/>
      <c r="D41" s="113"/>
    </row>
    <row r="42" spans="1:12" x14ac:dyDescent="0.4">
      <c r="A42" s="10" t="s">
        <v>130</v>
      </c>
      <c r="B42" s="11">
        <v>50</v>
      </c>
      <c r="C42" s="11" t="s">
        <v>125</v>
      </c>
      <c r="D42" s="12" t="s">
        <v>2</v>
      </c>
    </row>
    <row r="43" spans="1:12" x14ac:dyDescent="0.4">
      <c r="A43" s="10" t="s">
        <v>129</v>
      </c>
      <c r="B43" s="11">
        <v>20</v>
      </c>
      <c r="C43" s="11" t="s">
        <v>125</v>
      </c>
      <c r="D43" s="12" t="s">
        <v>16</v>
      </c>
    </row>
    <row r="44" spans="1:12" x14ac:dyDescent="0.4">
      <c r="A44" s="10" t="s">
        <v>132</v>
      </c>
      <c r="B44" s="11">
        <v>493</v>
      </c>
      <c r="C44" s="11" t="s">
        <v>131</v>
      </c>
      <c r="D44" s="12" t="s">
        <v>2</v>
      </c>
    </row>
    <row r="45" spans="1:12" ht="27" thickBot="1" x14ac:dyDescent="0.45">
      <c r="A45" s="13" t="s">
        <v>133</v>
      </c>
      <c r="B45" s="14">
        <v>20</v>
      </c>
      <c r="C45" s="14" t="s">
        <v>131</v>
      </c>
      <c r="D45" s="15" t="s">
        <v>16</v>
      </c>
    </row>
    <row r="46" spans="1:12" x14ac:dyDescent="0.4">
      <c r="A46" s="10" t="s">
        <v>388</v>
      </c>
      <c r="B46" s="11"/>
      <c r="C46" s="11">
        <f>SUM(B42:B45)</f>
        <v>583</v>
      </c>
      <c r="D46" s="12">
        <f>D40+C46</f>
        <v>8547</v>
      </c>
    </row>
    <row r="47" spans="1:12" x14ac:dyDescent="0.4">
      <c r="A47" s="111" t="s">
        <v>453</v>
      </c>
      <c r="B47" s="112"/>
      <c r="C47" s="112"/>
      <c r="D47" s="113"/>
    </row>
    <row r="48" spans="1:12" x14ac:dyDescent="0.4">
      <c r="A48" s="10" t="s">
        <v>140</v>
      </c>
      <c r="B48" s="11">
        <v>1439</v>
      </c>
      <c r="C48" s="11" t="s">
        <v>137</v>
      </c>
      <c r="D48" s="12" t="s">
        <v>2</v>
      </c>
    </row>
    <row r="49" spans="1:4" x14ac:dyDescent="0.4">
      <c r="A49" s="10" t="s">
        <v>141</v>
      </c>
      <c r="B49" s="11">
        <v>200</v>
      </c>
      <c r="C49" s="11" t="s">
        <v>137</v>
      </c>
      <c r="D49" s="12" t="s">
        <v>12</v>
      </c>
    </row>
    <row r="50" spans="1:4" x14ac:dyDescent="0.4">
      <c r="A50" s="10" t="s">
        <v>84</v>
      </c>
      <c r="B50" s="11">
        <v>40</v>
      </c>
      <c r="C50" s="11" t="s">
        <v>137</v>
      </c>
      <c r="D50" s="12" t="s">
        <v>14</v>
      </c>
    </row>
    <row r="51" spans="1:4" x14ac:dyDescent="0.4">
      <c r="A51" s="10" t="s">
        <v>129</v>
      </c>
      <c r="B51" s="11">
        <v>20</v>
      </c>
      <c r="C51" s="11" t="s">
        <v>137</v>
      </c>
      <c r="D51" s="12" t="s">
        <v>16</v>
      </c>
    </row>
    <row r="52" spans="1:4" x14ac:dyDescent="0.4">
      <c r="A52" s="10" t="s">
        <v>142</v>
      </c>
      <c r="B52" s="11">
        <v>275</v>
      </c>
      <c r="C52" s="11" t="s">
        <v>143</v>
      </c>
      <c r="D52" s="12" t="s">
        <v>32</v>
      </c>
    </row>
    <row r="53" spans="1:4" x14ac:dyDescent="0.4">
      <c r="A53" s="10" t="s">
        <v>144</v>
      </c>
      <c r="B53" s="11">
        <v>60</v>
      </c>
      <c r="C53" s="11" t="s">
        <v>137</v>
      </c>
      <c r="D53" s="12" t="s">
        <v>2</v>
      </c>
    </row>
    <row r="54" spans="1:4" x14ac:dyDescent="0.4">
      <c r="A54" s="10" t="s">
        <v>361</v>
      </c>
      <c r="B54" s="11">
        <v>755</v>
      </c>
      <c r="C54" s="11" t="s">
        <v>137</v>
      </c>
      <c r="D54" s="12" t="s">
        <v>2</v>
      </c>
    </row>
    <row r="55" spans="1:4" ht="27" thickBot="1" x14ac:dyDescent="0.45">
      <c r="A55" s="13" t="s">
        <v>362</v>
      </c>
      <c r="B55" s="14">
        <v>1410</v>
      </c>
      <c r="C55" s="14" t="s">
        <v>137</v>
      </c>
      <c r="D55" s="15" t="s">
        <v>2</v>
      </c>
    </row>
    <row r="56" spans="1:4" x14ac:dyDescent="0.4">
      <c r="A56" s="10" t="s">
        <v>388</v>
      </c>
      <c r="B56" s="11"/>
      <c r="C56" s="11">
        <f>SUM(B48:B55)</f>
        <v>4199</v>
      </c>
      <c r="D56" s="12">
        <f>D46+C56</f>
        <v>12746</v>
      </c>
    </row>
    <row r="57" spans="1:4" x14ac:dyDescent="0.4">
      <c r="A57" s="111" t="s">
        <v>445</v>
      </c>
      <c r="B57" s="112"/>
      <c r="C57" s="112"/>
      <c r="D57" s="113"/>
    </row>
    <row r="58" spans="1:4" ht="27" thickBot="1" x14ac:dyDescent="0.45">
      <c r="A58" s="13" t="s">
        <v>169</v>
      </c>
      <c r="B58" s="14">
        <v>100</v>
      </c>
      <c r="C58" s="14" t="s">
        <v>369</v>
      </c>
      <c r="D58" s="15" t="s">
        <v>12</v>
      </c>
    </row>
    <row r="59" spans="1:4" ht="27" thickBot="1" x14ac:dyDescent="0.45">
      <c r="A59" s="76" t="s">
        <v>388</v>
      </c>
      <c r="B59" s="91"/>
      <c r="C59" s="91">
        <f>B58</f>
        <v>100</v>
      </c>
      <c r="D59" s="92">
        <f>D56+C59</f>
        <v>12846</v>
      </c>
    </row>
    <row r="60" spans="1:4" ht="27" thickBot="1" x14ac:dyDescent="0.45">
      <c r="A60" s="13" t="s">
        <v>99</v>
      </c>
      <c r="B60" s="14">
        <f>SUM(B5:B58)</f>
        <v>12846</v>
      </c>
      <c r="C60" s="14"/>
      <c r="D60" s="15"/>
    </row>
    <row r="62" spans="1:4" x14ac:dyDescent="0.4">
      <c r="C62" s="3"/>
      <c r="D62" s="3"/>
    </row>
    <row r="66" spans="1:4" x14ac:dyDescent="0.4">
      <c r="A66" s="146"/>
      <c r="B66" s="146"/>
      <c r="C66" s="146"/>
      <c r="D66" s="146"/>
    </row>
    <row r="69" spans="1:4" x14ac:dyDescent="0.4">
      <c r="A69" s="146"/>
      <c r="B69" s="146"/>
      <c r="C69" s="146"/>
      <c r="D69" s="146"/>
    </row>
    <row r="72" spans="1:4" x14ac:dyDescent="0.4">
      <c r="A72" s="146"/>
      <c r="B72" s="146"/>
      <c r="C72" s="146"/>
      <c r="D72" s="146"/>
    </row>
  </sheetData>
  <mergeCells count="22">
    <mergeCell ref="A66:D66"/>
    <mergeCell ref="A69:D69"/>
    <mergeCell ref="A72:D72"/>
    <mergeCell ref="I30:L30"/>
    <mergeCell ref="I35:L35"/>
    <mergeCell ref="A41:D41"/>
    <mergeCell ref="A30:D30"/>
    <mergeCell ref="A47:D47"/>
    <mergeCell ref="A57:D57"/>
    <mergeCell ref="I26:L26"/>
    <mergeCell ref="I8:L8"/>
    <mergeCell ref="A1:L1"/>
    <mergeCell ref="A2:D2"/>
    <mergeCell ref="E2:H2"/>
    <mergeCell ref="I2:L2"/>
    <mergeCell ref="A4:D4"/>
    <mergeCell ref="E4:H4"/>
    <mergeCell ref="I4:L4"/>
    <mergeCell ref="A18:D18"/>
    <mergeCell ref="E19:H19"/>
    <mergeCell ref="E10:H10"/>
    <mergeCell ref="E26:H2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CA70A-F220-40CF-BBF3-416CEFA82755}">
  <dimension ref="A1:R103"/>
  <sheetViews>
    <sheetView zoomScale="70" zoomScaleNormal="70" workbookViewId="0">
      <selection activeCell="A2" sqref="A2:D2"/>
    </sheetView>
  </sheetViews>
  <sheetFormatPr defaultRowHeight="26.25" x14ac:dyDescent="0.4"/>
  <cols>
    <col min="1" max="1" width="133.5703125" style="1" bestFit="1" customWidth="1"/>
    <col min="2" max="2" width="14.85546875" style="1" bestFit="1" customWidth="1"/>
    <col min="3" max="3" width="135" style="1" bestFit="1" customWidth="1"/>
    <col min="4" max="4" width="58.7109375" style="1" bestFit="1" customWidth="1"/>
    <col min="5" max="5" width="96.7109375" style="1" bestFit="1" customWidth="1"/>
    <col min="6" max="6" width="14.85546875" style="1" bestFit="1" customWidth="1"/>
    <col min="7" max="7" width="22.140625" style="1" bestFit="1" customWidth="1"/>
    <col min="8" max="8" width="53.85546875" style="1" bestFit="1" customWidth="1"/>
    <col min="9" max="9" width="119.140625" style="1" bestFit="1" customWidth="1"/>
    <col min="10" max="10" width="14.85546875" style="1" bestFit="1" customWidth="1"/>
    <col min="11" max="11" width="47.42578125" style="1" bestFit="1" customWidth="1"/>
    <col min="12" max="12" width="58.7109375" style="1" bestFit="1" customWidth="1"/>
    <col min="13" max="16384" width="9.140625" style="1"/>
  </cols>
  <sheetData>
    <row r="1" spans="1:18" ht="27" thickBot="1" x14ac:dyDescent="0.45">
      <c r="A1" s="149" t="str">
        <f>"Icy Wilderness (total " &amp; F15 &amp; ")"</f>
        <v>Icy Wilderness (total 35801)</v>
      </c>
      <c r="B1" s="150"/>
      <c r="C1" s="150"/>
      <c r="D1" s="150"/>
      <c r="E1" s="150"/>
      <c r="F1" s="150"/>
      <c r="G1" s="150"/>
      <c r="H1" s="150"/>
      <c r="I1" s="150"/>
      <c r="J1" s="150"/>
      <c r="K1" s="150"/>
      <c r="L1" s="151"/>
      <c r="N1" s="2"/>
      <c r="P1" s="2"/>
      <c r="R1" s="2"/>
    </row>
    <row r="2" spans="1:18" ht="27" thickBot="1" x14ac:dyDescent="0.45">
      <c r="A2" s="117" t="s">
        <v>207</v>
      </c>
      <c r="B2" s="118"/>
      <c r="C2" s="118"/>
      <c r="D2" s="119"/>
      <c r="E2" s="120" t="s">
        <v>228</v>
      </c>
      <c r="F2" s="121"/>
      <c r="G2" s="121"/>
      <c r="H2" s="122"/>
      <c r="I2" s="123" t="s">
        <v>240</v>
      </c>
      <c r="J2" s="124"/>
      <c r="K2" s="124"/>
      <c r="L2" s="125"/>
    </row>
    <row r="3" spans="1:18" ht="27" thickBot="1" x14ac:dyDescent="0.45">
      <c r="A3" s="36" t="s">
        <v>0</v>
      </c>
      <c r="B3" s="37" t="s">
        <v>1</v>
      </c>
      <c r="C3" s="37" t="s">
        <v>19</v>
      </c>
      <c r="D3" s="38" t="s">
        <v>20</v>
      </c>
      <c r="E3" s="52" t="s">
        <v>0</v>
      </c>
      <c r="F3" s="39" t="s">
        <v>1</v>
      </c>
      <c r="G3" s="39" t="s">
        <v>19</v>
      </c>
      <c r="H3" s="40" t="s">
        <v>20</v>
      </c>
      <c r="I3" s="41" t="s">
        <v>0</v>
      </c>
      <c r="J3" s="42" t="s">
        <v>1</v>
      </c>
      <c r="K3" s="42" t="s">
        <v>19</v>
      </c>
      <c r="L3" s="43" t="s">
        <v>20</v>
      </c>
    </row>
    <row r="4" spans="1:18" x14ac:dyDescent="0.4">
      <c r="A4" s="129" t="s">
        <v>458</v>
      </c>
      <c r="B4" s="156"/>
      <c r="C4" s="156"/>
      <c r="D4" s="157"/>
      <c r="E4" s="132" t="s">
        <v>462</v>
      </c>
      <c r="F4" s="133"/>
      <c r="G4" s="133"/>
      <c r="H4" s="133"/>
      <c r="I4" s="134" t="s">
        <v>463</v>
      </c>
      <c r="J4" s="135"/>
      <c r="K4" s="135"/>
      <c r="L4" s="152"/>
    </row>
    <row r="5" spans="1:18" x14ac:dyDescent="0.4">
      <c r="A5" s="10" t="s">
        <v>25</v>
      </c>
      <c r="B5" s="45">
        <v>25</v>
      </c>
      <c r="C5" s="46" t="s">
        <v>2</v>
      </c>
      <c r="D5" s="47" t="s">
        <v>26</v>
      </c>
      <c r="E5" s="30" t="s">
        <v>237</v>
      </c>
      <c r="F5" s="31">
        <v>1813</v>
      </c>
      <c r="G5" s="32" t="s">
        <v>2</v>
      </c>
      <c r="H5" s="32" t="s">
        <v>2</v>
      </c>
      <c r="I5" s="55" t="s">
        <v>175</v>
      </c>
      <c r="J5" s="58">
        <v>1073</v>
      </c>
      <c r="K5" s="59" t="s">
        <v>2</v>
      </c>
      <c r="L5" s="60" t="s">
        <v>2</v>
      </c>
    </row>
    <row r="6" spans="1:18" ht="27" thickBot="1" x14ac:dyDescent="0.45">
      <c r="A6" s="13" t="s">
        <v>103</v>
      </c>
      <c r="B6" s="61">
        <v>80</v>
      </c>
      <c r="C6" s="78" t="s">
        <v>2</v>
      </c>
      <c r="D6" s="79" t="s">
        <v>6</v>
      </c>
      <c r="E6" s="30" t="s">
        <v>230</v>
      </c>
      <c r="F6" s="31">
        <v>500</v>
      </c>
      <c r="G6" s="32" t="s">
        <v>2</v>
      </c>
      <c r="H6" s="32" t="s">
        <v>231</v>
      </c>
      <c r="I6" s="55" t="s">
        <v>241</v>
      </c>
      <c r="J6" s="58">
        <v>200</v>
      </c>
      <c r="K6" s="59" t="s">
        <v>2</v>
      </c>
      <c r="L6" s="60" t="s">
        <v>242</v>
      </c>
    </row>
    <row r="7" spans="1:18" x14ac:dyDescent="0.4">
      <c r="A7" s="10" t="s">
        <v>388</v>
      </c>
      <c r="B7" s="45"/>
      <c r="C7" s="46">
        <f>B5+B6</f>
        <v>105</v>
      </c>
      <c r="D7" s="47"/>
      <c r="E7" s="30" t="s">
        <v>232</v>
      </c>
      <c r="F7" s="31">
        <v>500</v>
      </c>
      <c r="G7" s="32" t="s">
        <v>2</v>
      </c>
      <c r="H7" s="32" t="s">
        <v>231</v>
      </c>
      <c r="I7" s="55" t="s">
        <v>246</v>
      </c>
      <c r="J7" s="58">
        <v>180</v>
      </c>
      <c r="K7" s="59" t="s">
        <v>2</v>
      </c>
      <c r="L7" s="60" t="s">
        <v>12</v>
      </c>
    </row>
    <row r="8" spans="1:18" x14ac:dyDescent="0.4">
      <c r="A8" s="111" t="s">
        <v>459</v>
      </c>
      <c r="B8" s="112"/>
      <c r="C8" s="112"/>
      <c r="D8" s="113"/>
      <c r="E8" s="30" t="s">
        <v>233</v>
      </c>
      <c r="F8" s="31">
        <v>400</v>
      </c>
      <c r="G8" s="32" t="s">
        <v>2</v>
      </c>
      <c r="H8" s="32" t="s">
        <v>234</v>
      </c>
      <c r="I8" s="55" t="s">
        <v>243</v>
      </c>
      <c r="J8" s="58">
        <v>80</v>
      </c>
      <c r="K8" s="59" t="s">
        <v>2</v>
      </c>
      <c r="L8" s="60" t="s">
        <v>151</v>
      </c>
    </row>
    <row r="9" spans="1:18" x14ac:dyDescent="0.4">
      <c r="A9" s="10" t="s">
        <v>175</v>
      </c>
      <c r="B9" s="45">
        <v>415</v>
      </c>
      <c r="C9" s="46" t="s">
        <v>49</v>
      </c>
      <c r="D9" s="47" t="s">
        <v>2</v>
      </c>
      <c r="E9" s="30" t="s">
        <v>235</v>
      </c>
      <c r="F9" s="31">
        <v>200</v>
      </c>
      <c r="G9" s="32" t="s">
        <v>2</v>
      </c>
      <c r="H9" s="32" t="s">
        <v>236</v>
      </c>
      <c r="I9" s="55" t="s">
        <v>244</v>
      </c>
      <c r="J9" s="58">
        <v>75</v>
      </c>
      <c r="K9" s="59" t="s">
        <v>2</v>
      </c>
      <c r="L9" s="60" t="s">
        <v>220</v>
      </c>
    </row>
    <row r="10" spans="1:18" x14ac:dyDescent="0.4">
      <c r="A10" s="10" t="s">
        <v>209</v>
      </c>
      <c r="B10" s="45">
        <v>130</v>
      </c>
      <c r="C10" s="46" t="s">
        <v>210</v>
      </c>
      <c r="D10" s="47" t="s">
        <v>2</v>
      </c>
      <c r="E10" s="30" t="s">
        <v>364</v>
      </c>
      <c r="F10" s="31">
        <v>1143</v>
      </c>
      <c r="G10" s="17" t="s">
        <v>2</v>
      </c>
      <c r="H10" s="17" t="s">
        <v>2</v>
      </c>
      <c r="I10" s="55" t="s">
        <v>85</v>
      </c>
      <c r="J10" s="58">
        <v>20</v>
      </c>
      <c r="K10" s="59" t="s">
        <v>2</v>
      </c>
      <c r="L10" s="60" t="s">
        <v>16</v>
      </c>
    </row>
    <row r="11" spans="1:18" ht="27" thickBot="1" x14ac:dyDescent="0.45">
      <c r="A11" s="13" t="s">
        <v>216</v>
      </c>
      <c r="B11" s="61">
        <v>25</v>
      </c>
      <c r="C11" s="78" t="s">
        <v>6</v>
      </c>
      <c r="D11" s="79" t="s">
        <v>2</v>
      </c>
      <c r="E11" s="53" t="s">
        <v>365</v>
      </c>
      <c r="F11" s="54">
        <v>1075</v>
      </c>
      <c r="G11" s="20" t="s">
        <v>2</v>
      </c>
      <c r="H11" s="21" t="s">
        <v>2</v>
      </c>
      <c r="I11" s="56" t="s">
        <v>247</v>
      </c>
      <c r="J11" s="57">
        <v>1525</v>
      </c>
      <c r="K11" s="89" t="s">
        <v>2</v>
      </c>
      <c r="L11" s="90" t="s">
        <v>18</v>
      </c>
    </row>
    <row r="12" spans="1:18" ht="27" thickBot="1" x14ac:dyDescent="0.45">
      <c r="A12" s="10" t="s">
        <v>388</v>
      </c>
      <c r="B12" s="45"/>
      <c r="C12" s="46">
        <f>SUM(B9:B11)</f>
        <v>570</v>
      </c>
      <c r="D12" s="47">
        <f>C7+C12</f>
        <v>675</v>
      </c>
      <c r="E12" s="100" t="s">
        <v>388</v>
      </c>
      <c r="F12" s="101"/>
      <c r="G12" s="102">
        <f>SUM(F5:F11)</f>
        <v>5631</v>
      </c>
      <c r="H12" s="103"/>
      <c r="I12" s="55" t="s">
        <v>388</v>
      </c>
      <c r="J12" s="58"/>
      <c r="K12" s="59">
        <f>SUM(J5:J11)</f>
        <v>3153</v>
      </c>
      <c r="L12" s="60"/>
    </row>
    <row r="13" spans="1:18" ht="27" thickBot="1" x14ac:dyDescent="0.45">
      <c r="A13" s="111" t="s">
        <v>460</v>
      </c>
      <c r="B13" s="112"/>
      <c r="C13" s="112"/>
      <c r="D13" s="113"/>
      <c r="E13" s="53" t="s">
        <v>238</v>
      </c>
      <c r="F13" s="54">
        <f>SUM(F5:F12)</f>
        <v>5631</v>
      </c>
      <c r="G13" s="20"/>
      <c r="H13" s="20"/>
      <c r="I13" s="144" t="s">
        <v>464</v>
      </c>
      <c r="J13" s="145"/>
      <c r="K13" s="145"/>
      <c r="L13" s="148"/>
    </row>
    <row r="14" spans="1:18" x14ac:dyDescent="0.4">
      <c r="A14" s="10" t="s">
        <v>212</v>
      </c>
      <c r="B14" s="45">
        <v>1036</v>
      </c>
      <c r="C14" s="46" t="s">
        <v>6</v>
      </c>
      <c r="D14" s="47" t="s">
        <v>2</v>
      </c>
      <c r="I14" s="55" t="s">
        <v>175</v>
      </c>
      <c r="J14" s="58">
        <v>683</v>
      </c>
      <c r="K14" s="59" t="s">
        <v>249</v>
      </c>
      <c r="L14" s="60" t="s">
        <v>2</v>
      </c>
    </row>
    <row r="15" spans="1:18" x14ac:dyDescent="0.4">
      <c r="A15" s="10" t="s">
        <v>129</v>
      </c>
      <c r="B15" s="45">
        <v>100</v>
      </c>
      <c r="C15" s="46" t="s">
        <v>6</v>
      </c>
      <c r="D15" s="47" t="s">
        <v>16</v>
      </c>
      <c r="E15" s="1" t="s">
        <v>276</v>
      </c>
      <c r="F15" s="1">
        <f>B59+F13+J43</f>
        <v>35801</v>
      </c>
      <c r="I15" s="55" t="s">
        <v>241</v>
      </c>
      <c r="J15" s="58">
        <v>400</v>
      </c>
      <c r="K15" s="59" t="s">
        <v>249</v>
      </c>
      <c r="L15" s="60" t="s">
        <v>242</v>
      </c>
    </row>
    <row r="16" spans="1:18" x14ac:dyDescent="0.4">
      <c r="A16" s="10" t="s">
        <v>213</v>
      </c>
      <c r="B16" s="45">
        <v>175</v>
      </c>
      <c r="C16" s="46" t="s">
        <v>6</v>
      </c>
      <c r="D16" s="47" t="s">
        <v>214</v>
      </c>
      <c r="I16" s="55" t="s">
        <v>250</v>
      </c>
      <c r="J16" s="58">
        <v>60</v>
      </c>
      <c r="K16" s="59" t="s">
        <v>249</v>
      </c>
      <c r="L16" s="60" t="s">
        <v>12</v>
      </c>
    </row>
    <row r="17" spans="1:13" x14ac:dyDescent="0.4">
      <c r="A17" s="10" t="s">
        <v>215</v>
      </c>
      <c r="B17" s="45">
        <v>20</v>
      </c>
      <c r="C17" s="46" t="s">
        <v>6</v>
      </c>
      <c r="D17" s="47" t="s">
        <v>12</v>
      </c>
      <c r="I17" s="55" t="s">
        <v>251</v>
      </c>
      <c r="J17" s="58">
        <v>25</v>
      </c>
      <c r="K17" s="59" t="s">
        <v>252</v>
      </c>
      <c r="L17" s="60" t="s">
        <v>2</v>
      </c>
    </row>
    <row r="18" spans="1:13" x14ac:dyDescent="0.4">
      <c r="A18" s="10" t="s">
        <v>150</v>
      </c>
      <c r="B18" s="45">
        <v>40</v>
      </c>
      <c r="C18" s="46" t="s">
        <v>6</v>
      </c>
      <c r="D18" s="47" t="s">
        <v>151</v>
      </c>
      <c r="I18" s="55" t="s">
        <v>243</v>
      </c>
      <c r="J18" s="58">
        <v>20</v>
      </c>
      <c r="K18" s="59" t="s">
        <v>249</v>
      </c>
      <c r="L18" s="60" t="s">
        <v>151</v>
      </c>
    </row>
    <row r="19" spans="1:13" ht="27" thickBot="1" x14ac:dyDescent="0.45">
      <c r="A19" s="10" t="s">
        <v>218</v>
      </c>
      <c r="B19" s="45">
        <v>35</v>
      </c>
      <c r="C19" s="46" t="s">
        <v>6</v>
      </c>
      <c r="D19" s="47" t="s">
        <v>214</v>
      </c>
      <c r="I19" s="56" t="s">
        <v>85</v>
      </c>
      <c r="J19" s="57">
        <v>20</v>
      </c>
      <c r="K19" s="89" t="s">
        <v>249</v>
      </c>
      <c r="L19" s="90" t="s">
        <v>16</v>
      </c>
    </row>
    <row r="20" spans="1:13" x14ac:dyDescent="0.4">
      <c r="A20" s="10" t="s">
        <v>219</v>
      </c>
      <c r="B20" s="45">
        <v>50</v>
      </c>
      <c r="C20" s="46" t="s">
        <v>6</v>
      </c>
      <c r="D20" s="47" t="s">
        <v>220</v>
      </c>
      <c r="I20" s="55" t="s">
        <v>388</v>
      </c>
      <c r="J20" s="58"/>
      <c r="K20" s="59">
        <f>SUM(J14:J19)</f>
        <v>1208</v>
      </c>
      <c r="L20" s="60">
        <f>K12+K20</f>
        <v>4361</v>
      </c>
      <c r="M20" s="1" t="s">
        <v>467</v>
      </c>
    </row>
    <row r="21" spans="1:13" x14ac:dyDescent="0.4">
      <c r="A21" s="10" t="s">
        <v>361</v>
      </c>
      <c r="B21" s="45">
        <v>1906</v>
      </c>
      <c r="C21" s="46" t="s">
        <v>6</v>
      </c>
      <c r="D21" s="47" t="s">
        <v>2</v>
      </c>
      <c r="I21" s="144" t="s">
        <v>465</v>
      </c>
      <c r="J21" s="145"/>
      <c r="K21" s="145"/>
      <c r="L21" s="148"/>
    </row>
    <row r="22" spans="1:13" ht="27" thickBot="1" x14ac:dyDescent="0.45">
      <c r="A22" s="13" t="s">
        <v>362</v>
      </c>
      <c r="B22" s="61">
        <v>1931</v>
      </c>
      <c r="C22" s="78" t="s">
        <v>6</v>
      </c>
      <c r="D22" s="79" t="s">
        <v>2</v>
      </c>
      <c r="I22" s="55" t="s">
        <v>175</v>
      </c>
      <c r="J22" s="58">
        <f>1822+253</f>
        <v>2075</v>
      </c>
      <c r="K22" s="59" t="s">
        <v>254</v>
      </c>
      <c r="L22" s="60" t="s">
        <v>2</v>
      </c>
    </row>
    <row r="23" spans="1:13" x14ac:dyDescent="0.4">
      <c r="A23" s="10" t="s">
        <v>388</v>
      </c>
      <c r="B23" s="45"/>
      <c r="C23" s="46">
        <f>SUM(B14:B22)</f>
        <v>5293</v>
      </c>
      <c r="D23" s="47">
        <f>D12+C23</f>
        <v>5968</v>
      </c>
      <c r="I23" s="55" t="s">
        <v>255</v>
      </c>
      <c r="J23" s="58">
        <v>40</v>
      </c>
      <c r="K23" s="59" t="s">
        <v>254</v>
      </c>
      <c r="L23" s="60" t="s">
        <v>12</v>
      </c>
    </row>
    <row r="24" spans="1:13" x14ac:dyDescent="0.4">
      <c r="A24" s="111" t="s">
        <v>461</v>
      </c>
      <c r="B24" s="112"/>
      <c r="C24" s="112"/>
      <c r="D24" s="113"/>
      <c r="I24" s="55" t="s">
        <v>245</v>
      </c>
      <c r="J24" s="58">
        <v>50</v>
      </c>
      <c r="K24" s="59" t="s">
        <v>254</v>
      </c>
      <c r="L24" s="60" t="s">
        <v>18</v>
      </c>
    </row>
    <row r="25" spans="1:13" x14ac:dyDescent="0.4">
      <c r="A25" s="48" t="s">
        <v>37</v>
      </c>
      <c r="B25" s="45">
        <v>271</v>
      </c>
      <c r="C25" s="46" t="s">
        <v>221</v>
      </c>
      <c r="D25" s="47" t="s">
        <v>2</v>
      </c>
      <c r="I25" s="55" t="s">
        <v>129</v>
      </c>
      <c r="J25" s="58">
        <v>80</v>
      </c>
      <c r="K25" s="59" t="s">
        <v>254</v>
      </c>
      <c r="L25" s="60" t="s">
        <v>16</v>
      </c>
    </row>
    <row r="26" spans="1:13" x14ac:dyDescent="0.4">
      <c r="A26" s="48" t="s">
        <v>222</v>
      </c>
      <c r="B26" s="45">
        <v>20</v>
      </c>
      <c r="C26" s="46" t="s">
        <v>221</v>
      </c>
      <c r="D26" s="47" t="s">
        <v>12</v>
      </c>
      <c r="I26" s="55" t="s">
        <v>241</v>
      </c>
      <c r="J26" s="58">
        <v>225</v>
      </c>
      <c r="K26" s="59" t="s">
        <v>254</v>
      </c>
      <c r="L26" s="60" t="s">
        <v>242</v>
      </c>
    </row>
    <row r="27" spans="1:13" x14ac:dyDescent="0.4">
      <c r="A27" s="48" t="s">
        <v>129</v>
      </c>
      <c r="B27" s="45">
        <v>20</v>
      </c>
      <c r="C27" s="46" t="s">
        <v>221</v>
      </c>
      <c r="D27" s="47" t="s">
        <v>16</v>
      </c>
      <c r="I27" s="55" t="s">
        <v>256</v>
      </c>
      <c r="J27" s="58">
        <f>59871-59846</f>
        <v>25</v>
      </c>
      <c r="K27" s="59" t="s">
        <v>254</v>
      </c>
      <c r="L27" s="60" t="s">
        <v>77</v>
      </c>
    </row>
    <row r="28" spans="1:13" x14ac:dyDescent="0.4">
      <c r="A28" s="48" t="s">
        <v>223</v>
      </c>
      <c r="B28" s="45">
        <v>11</v>
      </c>
      <c r="C28" s="46" t="s">
        <v>224</v>
      </c>
      <c r="D28" s="47" t="s">
        <v>2</v>
      </c>
      <c r="I28" s="55" t="s">
        <v>260</v>
      </c>
      <c r="J28" s="58">
        <v>201</v>
      </c>
      <c r="K28" s="59" t="s">
        <v>254</v>
      </c>
      <c r="L28" s="60" t="s">
        <v>12</v>
      </c>
    </row>
    <row r="29" spans="1:13" x14ac:dyDescent="0.4">
      <c r="A29" s="48" t="s">
        <v>226</v>
      </c>
      <c r="B29" s="45">
        <v>630</v>
      </c>
      <c r="C29" s="46" t="s">
        <v>225</v>
      </c>
      <c r="D29" s="47" t="s">
        <v>2</v>
      </c>
      <c r="I29" s="55" t="s">
        <v>160</v>
      </c>
      <c r="J29" s="58">
        <v>20</v>
      </c>
      <c r="K29" s="59" t="s">
        <v>254</v>
      </c>
      <c r="L29" s="60" t="s">
        <v>14</v>
      </c>
    </row>
    <row r="30" spans="1:13" ht="27" thickBot="1" x14ac:dyDescent="0.45">
      <c r="A30" s="80" t="s">
        <v>227</v>
      </c>
      <c r="B30" s="61">
        <v>25</v>
      </c>
      <c r="C30" s="78" t="s">
        <v>225</v>
      </c>
      <c r="D30" s="79" t="s">
        <v>214</v>
      </c>
      <c r="I30" s="55" t="s">
        <v>259</v>
      </c>
      <c r="J30" s="58">
        <v>5000</v>
      </c>
      <c r="K30" s="59" t="s">
        <v>254</v>
      </c>
      <c r="L30" s="60" t="s">
        <v>2</v>
      </c>
    </row>
    <row r="31" spans="1:13" x14ac:dyDescent="0.4">
      <c r="A31" s="48" t="s">
        <v>388</v>
      </c>
      <c r="B31" s="45"/>
      <c r="C31" s="46">
        <f>SUM(B25:B30)</f>
        <v>977</v>
      </c>
      <c r="D31" s="47">
        <f>D23+C31</f>
        <v>6945</v>
      </c>
      <c r="I31" s="55" t="s">
        <v>261</v>
      </c>
      <c r="J31" s="58">
        <v>1500</v>
      </c>
      <c r="K31" s="59" t="s">
        <v>254</v>
      </c>
      <c r="L31" s="60" t="s">
        <v>69</v>
      </c>
    </row>
    <row r="32" spans="1:13" x14ac:dyDescent="0.4">
      <c r="A32" s="153" t="str">
        <f>_xlfn._LONGTEXT("---------------------------------------------------------------------------------------------------------------------------------------------------------------------------------------------------------------------------------------------------------------","---------------------")</f>
        <v>------------------------------------------------------------------------------------------------------------------------------------------------------------------------------------------------------------------------------------------------------------------------------------</v>
      </c>
      <c r="B32" s="154"/>
      <c r="C32" s="154"/>
      <c r="D32" s="155"/>
      <c r="I32" s="55" t="s">
        <v>263</v>
      </c>
      <c r="J32" s="58">
        <v>615</v>
      </c>
      <c r="K32" s="59" t="s">
        <v>262</v>
      </c>
      <c r="L32" s="60" t="s">
        <v>2</v>
      </c>
    </row>
    <row r="33" spans="1:12" x14ac:dyDescent="0.4">
      <c r="A33" s="111" t="s">
        <v>470</v>
      </c>
      <c r="B33" s="112"/>
      <c r="C33" s="112"/>
      <c r="D33" s="113"/>
      <c r="I33" s="55" t="s">
        <v>499</v>
      </c>
      <c r="J33" s="58">
        <v>800</v>
      </c>
      <c r="K33" s="59" t="s">
        <v>254</v>
      </c>
      <c r="L33" s="60" t="s">
        <v>2</v>
      </c>
    </row>
    <row r="34" spans="1:12" ht="27" thickBot="1" x14ac:dyDescent="0.45">
      <c r="A34" s="48" t="s">
        <v>265</v>
      </c>
      <c r="B34" s="45">
        <v>553</v>
      </c>
      <c r="C34" s="46" t="s">
        <v>274</v>
      </c>
      <c r="D34" s="47" t="s">
        <v>2</v>
      </c>
      <c r="I34" s="56" t="s">
        <v>500</v>
      </c>
      <c r="J34" s="57">
        <v>830</v>
      </c>
      <c r="K34" s="89" t="s">
        <v>254</v>
      </c>
      <c r="L34" s="90" t="s">
        <v>2</v>
      </c>
    </row>
    <row r="35" spans="1:12" x14ac:dyDescent="0.4">
      <c r="A35" s="48" t="s">
        <v>267</v>
      </c>
      <c r="B35" s="45">
        <v>175</v>
      </c>
      <c r="C35" s="46" t="s">
        <v>274</v>
      </c>
      <c r="D35" s="47" t="s">
        <v>214</v>
      </c>
      <c r="I35" s="55" t="s">
        <v>388</v>
      </c>
      <c r="J35" s="58"/>
      <c r="K35" s="59">
        <f>SUM(J22:J34)</f>
        <v>11461</v>
      </c>
      <c r="L35" s="60">
        <f>L20+K35</f>
        <v>15822</v>
      </c>
    </row>
    <row r="36" spans="1:12" x14ac:dyDescent="0.4">
      <c r="A36" s="48" t="s">
        <v>272</v>
      </c>
      <c r="B36" s="45">
        <v>1000</v>
      </c>
      <c r="C36" s="46" t="s">
        <v>274</v>
      </c>
      <c r="D36" s="47" t="s">
        <v>2</v>
      </c>
      <c r="I36" s="144" t="s">
        <v>469</v>
      </c>
      <c r="J36" s="145"/>
      <c r="K36" s="145"/>
      <c r="L36" s="148"/>
    </row>
    <row r="37" spans="1:12" ht="27" thickBot="1" x14ac:dyDescent="0.45">
      <c r="A37" s="80" t="s">
        <v>270</v>
      </c>
      <c r="B37" s="61">
        <v>20</v>
      </c>
      <c r="C37" s="78" t="s">
        <v>274</v>
      </c>
      <c r="D37" s="79" t="s">
        <v>16</v>
      </c>
      <c r="I37" s="55" t="s">
        <v>129</v>
      </c>
      <c r="J37" s="58">
        <v>20</v>
      </c>
      <c r="K37" s="59" t="s">
        <v>468</v>
      </c>
      <c r="L37" s="60" t="s">
        <v>16</v>
      </c>
    </row>
    <row r="38" spans="1:12" ht="27" thickBot="1" x14ac:dyDescent="0.45">
      <c r="A38" s="48" t="s">
        <v>388</v>
      </c>
      <c r="B38" s="45"/>
      <c r="C38" s="46">
        <f>SUM(B34:B37)</f>
        <v>1748</v>
      </c>
      <c r="D38" s="47"/>
      <c r="I38" s="56" t="s">
        <v>255</v>
      </c>
      <c r="J38" s="57">
        <v>60</v>
      </c>
      <c r="K38" s="89" t="s">
        <v>468</v>
      </c>
      <c r="L38" s="90" t="s">
        <v>12</v>
      </c>
    </row>
    <row r="39" spans="1:12" x14ac:dyDescent="0.4">
      <c r="A39" s="111" t="s">
        <v>471</v>
      </c>
      <c r="B39" s="112"/>
      <c r="C39" s="112"/>
      <c r="D39" s="113"/>
      <c r="I39" s="55" t="s">
        <v>388</v>
      </c>
      <c r="J39" s="58"/>
      <c r="K39" s="59">
        <f>J37+J38</f>
        <v>80</v>
      </c>
      <c r="L39" s="60">
        <f>L35+K39</f>
        <v>15902</v>
      </c>
    </row>
    <row r="40" spans="1:12" x14ac:dyDescent="0.4">
      <c r="A40" s="48" t="s">
        <v>270</v>
      </c>
      <c r="B40" s="45">
        <v>20</v>
      </c>
      <c r="C40" s="46" t="s">
        <v>537</v>
      </c>
      <c r="D40" s="47" t="s">
        <v>536</v>
      </c>
      <c r="I40" s="144" t="s">
        <v>466</v>
      </c>
      <c r="J40" s="145"/>
      <c r="K40" s="145"/>
      <c r="L40" s="148"/>
    </row>
    <row r="41" spans="1:12" ht="27" thickBot="1" x14ac:dyDescent="0.45">
      <c r="A41" s="80" t="s">
        <v>268</v>
      </c>
      <c r="B41" s="61">
        <v>40</v>
      </c>
      <c r="C41" s="78" t="s">
        <v>537</v>
      </c>
      <c r="D41" s="79" t="s">
        <v>536</v>
      </c>
      <c r="I41" s="56" t="s">
        <v>266</v>
      </c>
      <c r="J41" s="57">
        <f>73352-68852</f>
        <v>4500</v>
      </c>
      <c r="K41" s="89" t="s">
        <v>262</v>
      </c>
      <c r="L41" s="90" t="s">
        <v>2</v>
      </c>
    </row>
    <row r="42" spans="1:12" ht="27" thickBot="1" x14ac:dyDescent="0.45">
      <c r="A42" s="48" t="s">
        <v>388</v>
      </c>
      <c r="B42" s="45"/>
      <c r="C42" s="46">
        <f>B40+B41</f>
        <v>60</v>
      </c>
      <c r="D42" s="47">
        <f>C38+C42</f>
        <v>1808</v>
      </c>
      <c r="I42" s="25" t="s">
        <v>388</v>
      </c>
      <c r="J42" s="26"/>
      <c r="K42" s="26">
        <f>J41+L39</f>
        <v>20402</v>
      </c>
      <c r="L42" s="27"/>
    </row>
    <row r="43" spans="1:12" ht="27" thickBot="1" x14ac:dyDescent="0.45">
      <c r="A43" s="111" t="s">
        <v>473</v>
      </c>
      <c r="B43" s="112"/>
      <c r="C43" s="112"/>
      <c r="D43" s="113"/>
      <c r="I43" s="56" t="s">
        <v>239</v>
      </c>
      <c r="J43" s="57">
        <f>SUM(J5:J41)</f>
        <v>20402</v>
      </c>
      <c r="K43" s="26"/>
      <c r="L43" s="27"/>
    </row>
    <row r="44" spans="1:12" x14ac:dyDescent="0.4">
      <c r="A44" s="48" t="s">
        <v>175</v>
      </c>
      <c r="B44" s="45">
        <v>160</v>
      </c>
      <c r="C44" s="46" t="s">
        <v>538</v>
      </c>
      <c r="D44" s="47" t="s">
        <v>2</v>
      </c>
    </row>
    <row r="45" spans="1:12" x14ac:dyDescent="0.4">
      <c r="A45" s="48" t="s">
        <v>270</v>
      </c>
      <c r="B45" s="45">
        <v>20</v>
      </c>
      <c r="C45" s="46" t="s">
        <v>538</v>
      </c>
      <c r="D45" s="47" t="s">
        <v>536</v>
      </c>
    </row>
    <row r="46" spans="1:12" x14ac:dyDescent="0.4">
      <c r="A46" s="48" t="s">
        <v>268</v>
      </c>
      <c r="B46" s="45">
        <v>20</v>
      </c>
      <c r="C46" s="46" t="s">
        <v>538</v>
      </c>
      <c r="D46" s="47" t="s">
        <v>536</v>
      </c>
    </row>
    <row r="47" spans="1:12" ht="27" thickBot="1" x14ac:dyDescent="0.45">
      <c r="A47" s="80" t="s">
        <v>269</v>
      </c>
      <c r="B47" s="61">
        <v>20</v>
      </c>
      <c r="C47" s="78" t="s">
        <v>538</v>
      </c>
      <c r="D47" s="79" t="s">
        <v>2</v>
      </c>
    </row>
    <row r="48" spans="1:12" x14ac:dyDescent="0.4">
      <c r="A48" s="48" t="s">
        <v>388</v>
      </c>
      <c r="B48" s="45"/>
      <c r="C48" s="46">
        <f>SUM(B44:B47)</f>
        <v>220</v>
      </c>
      <c r="D48" s="47">
        <f>D42+C48</f>
        <v>2028</v>
      </c>
    </row>
    <row r="49" spans="1:8" x14ac:dyDescent="0.4">
      <c r="A49" s="111" t="s">
        <v>472</v>
      </c>
      <c r="B49" s="112"/>
      <c r="C49" s="112"/>
      <c r="D49" s="113"/>
    </row>
    <row r="50" spans="1:8" x14ac:dyDescent="0.4">
      <c r="A50" s="48" t="s">
        <v>265</v>
      </c>
      <c r="B50" s="45">
        <v>130</v>
      </c>
      <c r="C50" s="46" t="s">
        <v>539</v>
      </c>
      <c r="D50" s="47" t="s">
        <v>2</v>
      </c>
    </row>
    <row r="51" spans="1:8" x14ac:dyDescent="0.4">
      <c r="A51" s="48" t="s">
        <v>271</v>
      </c>
      <c r="B51" s="45">
        <v>50</v>
      </c>
      <c r="C51" s="46" t="s">
        <v>539</v>
      </c>
      <c r="D51" s="47" t="s">
        <v>2</v>
      </c>
    </row>
    <row r="52" spans="1:8" ht="27" thickBot="1" x14ac:dyDescent="0.45">
      <c r="A52" s="13" t="s">
        <v>150</v>
      </c>
      <c r="B52" s="61">
        <v>20</v>
      </c>
      <c r="C52" s="78" t="s">
        <v>539</v>
      </c>
      <c r="D52" s="79" t="s">
        <v>2</v>
      </c>
    </row>
    <row r="53" spans="1:8" x14ac:dyDescent="0.4">
      <c r="A53" s="48" t="s">
        <v>388</v>
      </c>
      <c r="B53" s="45"/>
      <c r="C53" s="46">
        <f>SUM(B50:B52)</f>
        <v>200</v>
      </c>
      <c r="D53" s="47">
        <f>D48+C53</f>
        <v>2228</v>
      </c>
    </row>
    <row r="54" spans="1:8" x14ac:dyDescent="0.4">
      <c r="A54" s="111" t="s">
        <v>474</v>
      </c>
      <c r="B54" s="112"/>
      <c r="C54" s="112"/>
      <c r="D54" s="113"/>
    </row>
    <row r="55" spans="1:8" x14ac:dyDescent="0.4">
      <c r="A55" s="48" t="s">
        <v>175</v>
      </c>
      <c r="B55" s="45">
        <v>295</v>
      </c>
      <c r="C55" s="46" t="s">
        <v>542</v>
      </c>
      <c r="D55" s="47" t="s">
        <v>2</v>
      </c>
    </row>
    <row r="56" spans="1:8" x14ac:dyDescent="0.4">
      <c r="A56" s="48" t="s">
        <v>267</v>
      </c>
      <c r="B56" s="45">
        <v>75</v>
      </c>
      <c r="C56" s="46" t="s">
        <v>542</v>
      </c>
      <c r="D56" s="47" t="s">
        <v>2</v>
      </c>
    </row>
    <row r="57" spans="1:8" ht="27" thickBot="1" x14ac:dyDescent="0.45">
      <c r="A57" s="80" t="s">
        <v>475</v>
      </c>
      <c r="B57" s="61">
        <v>225</v>
      </c>
      <c r="C57" s="78" t="s">
        <v>543</v>
      </c>
      <c r="D57" s="79" t="s">
        <v>2</v>
      </c>
      <c r="E57" s="6"/>
      <c r="F57" s="6"/>
      <c r="G57" s="6"/>
      <c r="H57" s="6"/>
    </row>
    <row r="58" spans="1:8" ht="27" thickBot="1" x14ac:dyDescent="0.45">
      <c r="A58" s="81" t="s">
        <v>388</v>
      </c>
      <c r="B58" s="82"/>
      <c r="C58" s="77">
        <f>SUM(B55:B57)</f>
        <v>595</v>
      </c>
      <c r="D58" s="83">
        <f>D53+C58</f>
        <v>2823</v>
      </c>
    </row>
    <row r="59" spans="1:8" ht="27" thickBot="1" x14ac:dyDescent="0.45">
      <c r="A59" s="13" t="s">
        <v>208</v>
      </c>
      <c r="B59" s="14">
        <f>SUM(B5:B57)</f>
        <v>9768</v>
      </c>
      <c r="C59" s="14"/>
      <c r="D59" s="15"/>
    </row>
    <row r="82" spans="1:12" x14ac:dyDescent="0.4">
      <c r="I82" s="6"/>
      <c r="J82" s="6"/>
      <c r="K82" s="6"/>
      <c r="L82" s="6"/>
    </row>
    <row r="84" spans="1:12" x14ac:dyDescent="0.4">
      <c r="I84" s="1" t="s">
        <v>171</v>
      </c>
      <c r="J84" s="1">
        <f>SUM(J5:J65)</f>
        <v>40804</v>
      </c>
    </row>
    <row r="89" spans="1:12" x14ac:dyDescent="0.4">
      <c r="A89" s="6"/>
      <c r="B89" s="6"/>
      <c r="C89" s="6"/>
      <c r="D89" s="6"/>
    </row>
    <row r="91" spans="1:12" x14ac:dyDescent="0.4">
      <c r="A91" s="1" t="s">
        <v>99</v>
      </c>
      <c r="B91" s="1">
        <f>SUM(B5:B89)</f>
        <v>19536</v>
      </c>
    </row>
    <row r="93" spans="1:12" x14ac:dyDescent="0.4">
      <c r="A93" s="1" t="s">
        <v>204</v>
      </c>
      <c r="B93" s="1">
        <f>B91+F59+J84</f>
        <v>60340</v>
      </c>
      <c r="C93" s="3"/>
      <c r="D93" s="3"/>
    </row>
    <row r="94" spans="1:12" x14ac:dyDescent="0.4">
      <c r="A94" s="1" t="s">
        <v>205</v>
      </c>
      <c r="B94" s="1">
        <f>'Dragon Kingdom'!F36+B93</f>
        <v>82287</v>
      </c>
    </row>
    <row r="97" spans="1:4" x14ac:dyDescent="0.4">
      <c r="A97" s="146"/>
      <c r="B97" s="146"/>
      <c r="C97" s="146"/>
      <c r="D97" s="146"/>
    </row>
    <row r="100" spans="1:4" x14ac:dyDescent="0.4">
      <c r="A100" s="146"/>
      <c r="B100" s="146"/>
      <c r="C100" s="146"/>
      <c r="D100" s="146"/>
    </row>
    <row r="103" spans="1:4" x14ac:dyDescent="0.4">
      <c r="A103" s="146"/>
      <c r="B103" s="146"/>
      <c r="C103" s="146"/>
      <c r="D103" s="146"/>
    </row>
  </sheetData>
  <mergeCells count="23">
    <mergeCell ref="A54:D54"/>
    <mergeCell ref="A97:D97"/>
    <mergeCell ref="A100:D100"/>
    <mergeCell ref="A103:D103"/>
    <mergeCell ref="A33:D33"/>
    <mergeCell ref="A39:D39"/>
    <mergeCell ref="I40:L40"/>
    <mergeCell ref="A43:D43"/>
    <mergeCell ref="A49:D49"/>
    <mergeCell ref="I36:L36"/>
    <mergeCell ref="A8:D8"/>
    <mergeCell ref="A13:D13"/>
    <mergeCell ref="I13:L13"/>
    <mergeCell ref="A24:D24"/>
    <mergeCell ref="I21:L21"/>
    <mergeCell ref="A32:D32"/>
    <mergeCell ref="A1:L1"/>
    <mergeCell ref="A2:D2"/>
    <mergeCell ref="E2:H2"/>
    <mergeCell ref="I2:L2"/>
    <mergeCell ref="A4:D4"/>
    <mergeCell ref="E4:H4"/>
    <mergeCell ref="I4:L4"/>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A9F32-D941-4898-9EDE-F9D7C61B01F1}">
  <dimension ref="A1:T77"/>
  <sheetViews>
    <sheetView zoomScale="70" zoomScaleNormal="70" workbookViewId="0">
      <selection activeCell="A2" sqref="A2:D2"/>
    </sheetView>
  </sheetViews>
  <sheetFormatPr defaultRowHeight="26.25" x14ac:dyDescent="0.4"/>
  <cols>
    <col min="1" max="1" width="118.28515625" style="1" bestFit="1" customWidth="1"/>
    <col min="2" max="2" width="17.85546875" style="1" bestFit="1" customWidth="1"/>
    <col min="3" max="3" width="36" style="1" bestFit="1" customWidth="1"/>
    <col min="4" max="4" width="57.42578125" style="1" bestFit="1" customWidth="1"/>
    <col min="5" max="5" width="92.7109375" style="1" bestFit="1" customWidth="1"/>
    <col min="6" max="6" width="14.42578125" style="1" customWidth="1"/>
    <col min="7" max="7" width="44.28515625" style="1" bestFit="1" customWidth="1"/>
    <col min="8" max="8" width="58.7109375" style="1" bestFit="1" customWidth="1"/>
    <col min="9" max="9" width="84.42578125" style="1" bestFit="1" customWidth="1"/>
    <col min="10" max="10" width="14.42578125" style="1" bestFit="1" customWidth="1"/>
    <col min="11" max="11" width="50.7109375" style="1" bestFit="1" customWidth="1"/>
    <col min="12" max="12" width="49.140625" style="1" bestFit="1" customWidth="1"/>
    <col min="13" max="13" width="100.7109375" style="1" bestFit="1" customWidth="1"/>
    <col min="14" max="14" width="14.42578125" style="1" bestFit="1" customWidth="1"/>
    <col min="15" max="15" width="46.85546875" style="1" bestFit="1" customWidth="1"/>
    <col min="16" max="16" width="43.5703125" style="1" bestFit="1" customWidth="1"/>
    <col min="17" max="17" width="44.85546875" style="1" bestFit="1" customWidth="1"/>
    <col min="18" max="18" width="14.85546875" style="1" bestFit="1" customWidth="1"/>
    <col min="19" max="19" width="21" style="1" bestFit="1" customWidth="1"/>
    <col min="20" max="20" width="25.5703125" style="1" bestFit="1" customWidth="1"/>
    <col min="21" max="22" width="12" style="1" bestFit="1" customWidth="1"/>
    <col min="23" max="16384" width="9.140625" style="1"/>
  </cols>
  <sheetData>
    <row r="1" spans="1:20" ht="27" thickBot="1" x14ac:dyDescent="0.45">
      <c r="A1" s="114" t="str">
        <f>"Volcanic Isle (total " &amp; F33 &amp; ")"</f>
        <v>Volcanic Isle (total 49306)</v>
      </c>
      <c r="B1" s="115"/>
      <c r="C1" s="115"/>
      <c r="D1" s="115"/>
      <c r="E1" s="115"/>
      <c r="F1" s="115"/>
      <c r="G1" s="115"/>
      <c r="H1" s="115"/>
      <c r="I1" s="115"/>
      <c r="J1" s="115"/>
      <c r="K1" s="115"/>
      <c r="L1" s="115"/>
      <c r="M1" s="115"/>
      <c r="N1" s="115"/>
      <c r="O1" s="115"/>
      <c r="P1" s="115"/>
      <c r="Q1" s="115"/>
      <c r="R1" s="115"/>
      <c r="S1" s="115"/>
      <c r="T1" s="116"/>
    </row>
    <row r="2" spans="1:20" ht="27" thickBot="1" x14ac:dyDescent="0.45">
      <c r="A2" s="117" t="s">
        <v>277</v>
      </c>
      <c r="B2" s="118"/>
      <c r="C2" s="118"/>
      <c r="D2" s="119"/>
      <c r="E2" s="120" t="s">
        <v>291</v>
      </c>
      <c r="F2" s="121"/>
      <c r="G2" s="121"/>
      <c r="H2" s="122"/>
      <c r="I2" s="123" t="s">
        <v>323</v>
      </c>
      <c r="J2" s="124"/>
      <c r="K2" s="124"/>
      <c r="L2" s="125"/>
      <c r="M2" s="126" t="s">
        <v>327</v>
      </c>
      <c r="N2" s="127"/>
      <c r="O2" s="127"/>
      <c r="P2" s="128"/>
      <c r="Q2" s="117" t="s">
        <v>350</v>
      </c>
      <c r="R2" s="118"/>
      <c r="S2" s="118"/>
      <c r="T2" s="119"/>
    </row>
    <row r="3" spans="1:20" ht="27" thickBot="1" x14ac:dyDescent="0.45">
      <c r="A3" s="7" t="s">
        <v>0</v>
      </c>
      <c r="B3" s="8" t="s">
        <v>1</v>
      </c>
      <c r="C3" s="8" t="s">
        <v>19</v>
      </c>
      <c r="D3" s="9" t="s">
        <v>20</v>
      </c>
      <c r="E3" s="44" t="s">
        <v>0</v>
      </c>
      <c r="F3" s="28" t="s">
        <v>1</v>
      </c>
      <c r="G3" s="28" t="s">
        <v>19</v>
      </c>
      <c r="H3" s="29" t="s">
        <v>20</v>
      </c>
      <c r="I3" s="33" t="s">
        <v>0</v>
      </c>
      <c r="J3" s="34" t="s">
        <v>1</v>
      </c>
      <c r="K3" s="34" t="s">
        <v>19</v>
      </c>
      <c r="L3" s="35" t="s">
        <v>20</v>
      </c>
      <c r="M3" s="62" t="s">
        <v>0</v>
      </c>
      <c r="N3" s="63" t="s">
        <v>1</v>
      </c>
      <c r="O3" s="63" t="s">
        <v>19</v>
      </c>
      <c r="P3" s="64" t="s">
        <v>20</v>
      </c>
      <c r="Q3" s="7" t="s">
        <v>0</v>
      </c>
      <c r="R3" s="8" t="s">
        <v>1</v>
      </c>
      <c r="S3" s="8" t="s">
        <v>19</v>
      </c>
      <c r="T3" s="9" t="s">
        <v>20</v>
      </c>
    </row>
    <row r="4" spans="1:20" x14ac:dyDescent="0.4">
      <c r="A4" s="129" t="s">
        <v>477</v>
      </c>
      <c r="B4" s="130"/>
      <c r="C4" s="130"/>
      <c r="D4" s="131"/>
      <c r="E4" s="132" t="s">
        <v>480</v>
      </c>
      <c r="F4" s="133"/>
      <c r="G4" s="133"/>
      <c r="H4" s="133"/>
      <c r="I4" s="134" t="s">
        <v>493</v>
      </c>
      <c r="J4" s="135"/>
      <c r="K4" s="135"/>
      <c r="L4" s="135"/>
      <c r="M4" s="136" t="s">
        <v>487</v>
      </c>
      <c r="N4" s="137"/>
      <c r="O4" s="137"/>
      <c r="P4" s="138"/>
      <c r="Q4" s="129" t="s">
        <v>492</v>
      </c>
      <c r="R4" s="130"/>
      <c r="S4" s="130"/>
      <c r="T4" s="131"/>
    </row>
    <row r="5" spans="1:20" ht="27" thickBot="1" x14ac:dyDescent="0.45">
      <c r="A5" s="48" t="s">
        <v>100</v>
      </c>
      <c r="B5" s="45">
        <v>263</v>
      </c>
      <c r="C5" s="46" t="s">
        <v>2</v>
      </c>
      <c r="D5" s="47" t="s">
        <v>2</v>
      </c>
      <c r="E5" s="30" t="s">
        <v>175</v>
      </c>
      <c r="F5" s="31">
        <v>572</v>
      </c>
      <c r="G5" s="32" t="s">
        <v>2</v>
      </c>
      <c r="H5" s="32" t="s">
        <v>2</v>
      </c>
      <c r="I5" s="55" t="s">
        <v>175</v>
      </c>
      <c r="J5" s="58">
        <f>695+75</f>
        <v>770</v>
      </c>
      <c r="K5" s="59" t="s">
        <v>2</v>
      </c>
      <c r="L5" s="59" t="s">
        <v>2</v>
      </c>
      <c r="M5" s="65" t="s">
        <v>265</v>
      </c>
      <c r="N5" s="66">
        <f>690+50</f>
        <v>740</v>
      </c>
      <c r="O5" s="67" t="s">
        <v>2</v>
      </c>
      <c r="P5" s="68" t="s">
        <v>2</v>
      </c>
      <c r="Q5" s="80" t="s">
        <v>265</v>
      </c>
      <c r="R5" s="61">
        <v>1083</v>
      </c>
      <c r="S5" s="78" t="s">
        <v>2</v>
      </c>
      <c r="T5" s="79" t="s">
        <v>2</v>
      </c>
    </row>
    <row r="6" spans="1:20" x14ac:dyDescent="0.4">
      <c r="A6" s="48" t="s">
        <v>25</v>
      </c>
      <c r="B6" s="45">
        <v>350</v>
      </c>
      <c r="C6" s="46" t="s">
        <v>2</v>
      </c>
      <c r="D6" s="47" t="s">
        <v>26</v>
      </c>
      <c r="E6" s="30" t="s">
        <v>293</v>
      </c>
      <c r="F6" s="31">
        <v>50</v>
      </c>
      <c r="G6" s="32" t="s">
        <v>2</v>
      </c>
      <c r="H6" s="32" t="s">
        <v>242</v>
      </c>
      <c r="I6" s="55" t="s">
        <v>316</v>
      </c>
      <c r="J6" s="58">
        <v>50</v>
      </c>
      <c r="K6" s="59" t="s">
        <v>32</v>
      </c>
      <c r="L6" s="59" t="s">
        <v>2</v>
      </c>
      <c r="M6" s="65" t="s">
        <v>330</v>
      </c>
      <c r="N6" s="66">
        <v>75</v>
      </c>
      <c r="O6" s="67" t="s">
        <v>2</v>
      </c>
      <c r="P6" s="68" t="s">
        <v>12</v>
      </c>
      <c r="Q6" s="48" t="s">
        <v>388</v>
      </c>
      <c r="R6" s="45"/>
      <c r="S6" s="46">
        <f>R5</f>
        <v>1083</v>
      </c>
      <c r="T6" s="47"/>
    </row>
    <row r="7" spans="1:20" x14ac:dyDescent="0.4">
      <c r="A7" s="48" t="s">
        <v>27</v>
      </c>
      <c r="B7" s="45">
        <v>300</v>
      </c>
      <c r="C7" s="46" t="s">
        <v>2</v>
      </c>
      <c r="D7" s="47" t="s">
        <v>28</v>
      </c>
      <c r="E7" s="30" t="s">
        <v>294</v>
      </c>
      <c r="F7" s="31">
        <v>500</v>
      </c>
      <c r="G7" s="32" t="s">
        <v>2</v>
      </c>
      <c r="H7" s="32" t="s">
        <v>18</v>
      </c>
      <c r="I7" s="55" t="s">
        <v>269</v>
      </c>
      <c r="J7" s="58">
        <v>20</v>
      </c>
      <c r="K7" s="59" t="s">
        <v>2</v>
      </c>
      <c r="L7" s="59" t="s">
        <v>12</v>
      </c>
      <c r="M7" s="65" t="s">
        <v>337</v>
      </c>
      <c r="N7" s="66">
        <v>60</v>
      </c>
      <c r="O7" s="67" t="s">
        <v>2</v>
      </c>
      <c r="P7" s="68" t="s">
        <v>331</v>
      </c>
      <c r="Q7" s="111" t="s">
        <v>495</v>
      </c>
      <c r="R7" s="112"/>
      <c r="S7" s="112"/>
      <c r="T7" s="113"/>
    </row>
    <row r="8" spans="1:20" ht="27" thickBot="1" x14ac:dyDescent="0.45">
      <c r="A8" s="48" t="s">
        <v>281</v>
      </c>
      <c r="B8" s="45">
        <v>30</v>
      </c>
      <c r="C8" s="46" t="s">
        <v>2</v>
      </c>
      <c r="D8" s="47" t="s">
        <v>6</v>
      </c>
      <c r="E8" s="53" t="s">
        <v>295</v>
      </c>
      <c r="F8" s="54">
        <v>1500</v>
      </c>
      <c r="G8" s="84" t="s">
        <v>2</v>
      </c>
      <c r="H8" s="85" t="s">
        <v>69</v>
      </c>
      <c r="I8" s="55" t="s">
        <v>312</v>
      </c>
      <c r="J8" s="58">
        <v>25</v>
      </c>
      <c r="K8" s="59" t="s">
        <v>2</v>
      </c>
      <c r="L8" s="59" t="s">
        <v>18</v>
      </c>
      <c r="M8" s="65" t="s">
        <v>332</v>
      </c>
      <c r="N8" s="66">
        <v>100</v>
      </c>
      <c r="O8" s="67" t="s">
        <v>32</v>
      </c>
      <c r="P8" s="68" t="s">
        <v>2</v>
      </c>
      <c r="Q8" s="48" t="s">
        <v>265</v>
      </c>
      <c r="R8" s="45">
        <v>680</v>
      </c>
      <c r="S8" s="46" t="s">
        <v>2</v>
      </c>
      <c r="T8" s="47" t="s">
        <v>2</v>
      </c>
    </row>
    <row r="9" spans="1:20" ht="27" thickBot="1" x14ac:dyDescent="0.45">
      <c r="A9" s="48" t="s">
        <v>29</v>
      </c>
      <c r="B9" s="45">
        <v>350</v>
      </c>
      <c r="C9" s="46" t="s">
        <v>2</v>
      </c>
      <c r="D9" s="47" t="s">
        <v>30</v>
      </c>
      <c r="E9" s="30" t="s">
        <v>388</v>
      </c>
      <c r="F9" s="31"/>
      <c r="G9" s="32">
        <f>SUM(F5:F8)</f>
        <v>2622</v>
      </c>
      <c r="H9" s="32"/>
      <c r="I9" s="55" t="s">
        <v>313</v>
      </c>
      <c r="J9" s="58">
        <v>25</v>
      </c>
      <c r="K9" s="59" t="s">
        <v>32</v>
      </c>
      <c r="L9" s="59" t="s">
        <v>18</v>
      </c>
      <c r="M9" s="65" t="s">
        <v>338</v>
      </c>
      <c r="N9" s="66">
        <v>50</v>
      </c>
      <c r="O9" s="67" t="s">
        <v>2</v>
      </c>
      <c r="P9" s="68" t="s">
        <v>242</v>
      </c>
      <c r="Q9" s="80" t="s">
        <v>354</v>
      </c>
      <c r="R9" s="61">
        <v>70</v>
      </c>
      <c r="S9" s="78" t="s">
        <v>18</v>
      </c>
      <c r="T9" s="79" t="s">
        <v>2</v>
      </c>
    </row>
    <row r="10" spans="1:20" ht="27" thickBot="1" x14ac:dyDescent="0.45">
      <c r="A10" s="48" t="s">
        <v>241</v>
      </c>
      <c r="B10" s="45">
        <v>375</v>
      </c>
      <c r="C10" s="46" t="s">
        <v>2</v>
      </c>
      <c r="D10" s="47" t="s">
        <v>242</v>
      </c>
      <c r="E10" s="139" t="s">
        <v>484</v>
      </c>
      <c r="F10" s="140"/>
      <c r="G10" s="140"/>
      <c r="H10" s="140"/>
      <c r="I10" s="55" t="s">
        <v>314</v>
      </c>
      <c r="J10" s="58">
        <v>100</v>
      </c>
      <c r="K10" s="59" t="s">
        <v>2</v>
      </c>
      <c r="L10" s="59" t="s">
        <v>32</v>
      </c>
      <c r="M10" s="97" t="s">
        <v>241</v>
      </c>
      <c r="N10" s="73">
        <v>100</v>
      </c>
      <c r="O10" s="98" t="s">
        <v>2</v>
      </c>
      <c r="P10" s="99" t="s">
        <v>242</v>
      </c>
      <c r="Q10" s="48" t="s">
        <v>388</v>
      </c>
      <c r="R10" s="45"/>
      <c r="S10" s="46">
        <f>R8+R9</f>
        <v>750</v>
      </c>
      <c r="T10" s="47">
        <f>S6+S10</f>
        <v>1833</v>
      </c>
    </row>
    <row r="11" spans="1:20" x14ac:dyDescent="0.4">
      <c r="A11" s="48" t="s">
        <v>280</v>
      </c>
      <c r="B11" s="45">
        <v>1000</v>
      </c>
      <c r="C11" s="46" t="s">
        <v>2</v>
      </c>
      <c r="D11" s="47" t="s">
        <v>18</v>
      </c>
      <c r="E11" s="16" t="s">
        <v>481</v>
      </c>
      <c r="F11" s="31">
        <v>50</v>
      </c>
      <c r="G11" s="32" t="s">
        <v>296</v>
      </c>
      <c r="H11" s="32" t="s">
        <v>2</v>
      </c>
      <c r="I11" s="55" t="s">
        <v>315</v>
      </c>
      <c r="J11" s="58">
        <v>500</v>
      </c>
      <c r="K11" s="59" t="s">
        <v>2</v>
      </c>
      <c r="L11" s="59" t="s">
        <v>18</v>
      </c>
      <c r="M11" s="65" t="s">
        <v>388</v>
      </c>
      <c r="N11" s="66"/>
      <c r="O11" s="67">
        <f>SUM(N5:N10)</f>
        <v>1125</v>
      </c>
      <c r="P11" s="68"/>
      <c r="Q11" s="111" t="s">
        <v>496</v>
      </c>
      <c r="R11" s="112"/>
      <c r="S11" s="112"/>
      <c r="T11" s="113"/>
    </row>
    <row r="12" spans="1:20" ht="27" thickBot="1" x14ac:dyDescent="0.45">
      <c r="A12" s="48" t="s">
        <v>215</v>
      </c>
      <c r="B12" s="45">
        <v>140</v>
      </c>
      <c r="C12" s="46" t="s">
        <v>2</v>
      </c>
      <c r="D12" s="47" t="s">
        <v>12</v>
      </c>
      <c r="E12" s="16" t="s">
        <v>482</v>
      </c>
      <c r="F12" s="31">
        <v>131</v>
      </c>
      <c r="G12" s="32" t="s">
        <v>296</v>
      </c>
      <c r="H12" s="32" t="s">
        <v>2</v>
      </c>
      <c r="I12" s="55" t="s">
        <v>317</v>
      </c>
      <c r="J12" s="58">
        <v>50</v>
      </c>
      <c r="K12" s="59" t="s">
        <v>32</v>
      </c>
      <c r="L12" s="59" t="s">
        <v>2</v>
      </c>
      <c r="M12" s="141" t="s">
        <v>488</v>
      </c>
      <c r="N12" s="142"/>
      <c r="O12" s="142"/>
      <c r="P12" s="143"/>
      <c r="Q12" s="80" t="s">
        <v>265</v>
      </c>
      <c r="R12" s="61">
        <v>1119</v>
      </c>
      <c r="S12" s="78" t="s">
        <v>2</v>
      </c>
      <c r="T12" s="79" t="s">
        <v>2</v>
      </c>
    </row>
    <row r="13" spans="1:20" x14ac:dyDescent="0.4">
      <c r="A13" s="48" t="s">
        <v>243</v>
      </c>
      <c r="B13" s="45">
        <v>80</v>
      </c>
      <c r="C13" s="46" t="s">
        <v>2</v>
      </c>
      <c r="D13" s="47" t="s">
        <v>151</v>
      </c>
      <c r="E13" s="16" t="s">
        <v>483</v>
      </c>
      <c r="F13" s="31">
        <v>25</v>
      </c>
      <c r="G13" s="32" t="s">
        <v>296</v>
      </c>
      <c r="H13" s="32" t="s">
        <v>18</v>
      </c>
      <c r="I13" s="55" t="s">
        <v>318</v>
      </c>
      <c r="J13" s="58">
        <v>20</v>
      </c>
      <c r="K13" s="59" t="s">
        <v>32</v>
      </c>
      <c r="L13" s="59" t="s">
        <v>16</v>
      </c>
      <c r="M13" s="65" t="s">
        <v>334</v>
      </c>
      <c r="N13" s="66">
        <v>470</v>
      </c>
      <c r="O13" s="67" t="s">
        <v>82</v>
      </c>
      <c r="P13" s="68" t="s">
        <v>242</v>
      </c>
      <c r="Q13" s="48" t="s">
        <v>388</v>
      </c>
      <c r="R13" s="45"/>
      <c r="S13" s="46">
        <f>R12</f>
        <v>1119</v>
      </c>
      <c r="T13" s="47">
        <f>T10+S13</f>
        <v>2952</v>
      </c>
    </row>
    <row r="14" spans="1:20" ht="27" thickBot="1" x14ac:dyDescent="0.45">
      <c r="A14" s="48" t="s">
        <v>85</v>
      </c>
      <c r="B14" s="45">
        <v>60</v>
      </c>
      <c r="C14" s="46" t="s">
        <v>2</v>
      </c>
      <c r="D14" s="47" t="s">
        <v>16</v>
      </c>
      <c r="E14" s="16" t="s">
        <v>265</v>
      </c>
      <c r="F14" s="31">
        <v>1548</v>
      </c>
      <c r="G14" s="32" t="s">
        <v>296</v>
      </c>
      <c r="H14" s="32" t="s">
        <v>2</v>
      </c>
      <c r="I14" s="56" t="s">
        <v>319</v>
      </c>
      <c r="J14" s="57">
        <v>40</v>
      </c>
      <c r="K14" s="89" t="s">
        <v>2</v>
      </c>
      <c r="L14" s="90" t="s">
        <v>16</v>
      </c>
      <c r="M14" s="65" t="s">
        <v>330</v>
      </c>
      <c r="N14" s="66">
        <v>125</v>
      </c>
      <c r="O14" s="67" t="s">
        <v>82</v>
      </c>
      <c r="P14" s="68" t="s">
        <v>12</v>
      </c>
      <c r="Q14" s="111" t="s">
        <v>497</v>
      </c>
      <c r="R14" s="112"/>
      <c r="S14" s="112"/>
      <c r="T14" s="113"/>
    </row>
    <row r="15" spans="1:20" ht="27" thickBot="1" x14ac:dyDescent="0.45">
      <c r="A15" s="80" t="s">
        <v>284</v>
      </c>
      <c r="B15" s="61">
        <v>100</v>
      </c>
      <c r="C15" s="78" t="s">
        <v>89</v>
      </c>
      <c r="D15" s="79" t="s">
        <v>32</v>
      </c>
      <c r="E15" s="16" t="s">
        <v>301</v>
      </c>
      <c r="F15" s="31">
        <v>400</v>
      </c>
      <c r="G15" s="32" t="s">
        <v>296</v>
      </c>
      <c r="H15" s="32" t="s">
        <v>32</v>
      </c>
      <c r="I15" s="55" t="s">
        <v>388</v>
      </c>
      <c r="J15" s="58"/>
      <c r="K15" s="59">
        <f>SUM(J5:J14)</f>
        <v>1600</v>
      </c>
      <c r="L15" s="59"/>
      <c r="M15" s="65" t="s">
        <v>241</v>
      </c>
      <c r="N15" s="66">
        <v>50</v>
      </c>
      <c r="O15" s="67" t="s">
        <v>82</v>
      </c>
      <c r="P15" s="68" t="s">
        <v>242</v>
      </c>
      <c r="Q15" s="48" t="s">
        <v>265</v>
      </c>
      <c r="R15" s="45">
        <f>109265-108705</f>
        <v>560</v>
      </c>
      <c r="S15" s="46" t="s">
        <v>2</v>
      </c>
      <c r="T15" s="47" t="s">
        <v>2</v>
      </c>
    </row>
    <row r="16" spans="1:20" ht="27" thickBot="1" x14ac:dyDescent="0.45">
      <c r="A16" s="48" t="s">
        <v>388</v>
      </c>
      <c r="B16" s="45"/>
      <c r="C16" s="46">
        <f>SUM(B5:B15)</f>
        <v>3048</v>
      </c>
      <c r="D16" s="47"/>
      <c r="E16" s="16" t="s">
        <v>302</v>
      </c>
      <c r="F16" s="31">
        <v>40</v>
      </c>
      <c r="G16" s="32" t="s">
        <v>296</v>
      </c>
      <c r="H16" s="32" t="s">
        <v>16</v>
      </c>
      <c r="I16" s="144" t="s">
        <v>486</v>
      </c>
      <c r="J16" s="145"/>
      <c r="K16" s="145"/>
      <c r="L16" s="145"/>
      <c r="M16" s="97" t="s">
        <v>335</v>
      </c>
      <c r="N16" s="73">
        <v>350</v>
      </c>
      <c r="O16" s="98" t="s">
        <v>476</v>
      </c>
      <c r="P16" s="99" t="s">
        <v>32</v>
      </c>
      <c r="Q16" s="80" t="s">
        <v>357</v>
      </c>
      <c r="R16" s="14">
        <v>155</v>
      </c>
      <c r="S16" s="78" t="s">
        <v>358</v>
      </c>
      <c r="T16" s="79" t="s">
        <v>2</v>
      </c>
    </row>
    <row r="17" spans="1:20" ht="27" thickBot="1" x14ac:dyDescent="0.45">
      <c r="A17" s="111" t="s">
        <v>478</v>
      </c>
      <c r="B17" s="112"/>
      <c r="C17" s="112"/>
      <c r="D17" s="113"/>
      <c r="E17" s="16" t="s">
        <v>303</v>
      </c>
      <c r="F17" s="31">
        <v>20</v>
      </c>
      <c r="G17" s="32" t="s">
        <v>296</v>
      </c>
      <c r="H17" s="32" t="s">
        <v>14</v>
      </c>
      <c r="I17" s="56" t="s">
        <v>265</v>
      </c>
      <c r="J17" s="57">
        <v>447</v>
      </c>
      <c r="K17" s="89" t="s">
        <v>164</v>
      </c>
      <c r="L17" s="90" t="s">
        <v>2</v>
      </c>
      <c r="M17" s="65" t="s">
        <v>388</v>
      </c>
      <c r="N17" s="66"/>
      <c r="O17" s="67">
        <f>SUM(N13:N16)</f>
        <v>995</v>
      </c>
      <c r="P17" s="68">
        <f>O11+O17</f>
        <v>2120</v>
      </c>
      <c r="Q17" s="48" t="s">
        <v>388</v>
      </c>
      <c r="R17" s="11"/>
      <c r="S17" s="46">
        <f>R15+R16</f>
        <v>715</v>
      </c>
      <c r="T17" s="47">
        <f>T13+S17</f>
        <v>3667</v>
      </c>
    </row>
    <row r="18" spans="1:20" x14ac:dyDescent="0.4">
      <c r="A18" s="10" t="s">
        <v>175</v>
      </c>
      <c r="B18" s="45">
        <f>1334+80</f>
        <v>1414</v>
      </c>
      <c r="C18" s="46" t="s">
        <v>6</v>
      </c>
      <c r="D18" s="47" t="s">
        <v>2</v>
      </c>
      <c r="E18" s="16" t="s">
        <v>304</v>
      </c>
      <c r="F18" s="31">
        <v>20</v>
      </c>
      <c r="G18" s="32" t="s">
        <v>296</v>
      </c>
      <c r="H18" s="32" t="s">
        <v>12</v>
      </c>
      <c r="I18" s="55" t="s">
        <v>388</v>
      </c>
      <c r="J18" s="58"/>
      <c r="K18" s="59">
        <f>J17</f>
        <v>447</v>
      </c>
      <c r="L18" s="59">
        <f>K15+K18</f>
        <v>2047</v>
      </c>
      <c r="M18" s="141" t="s">
        <v>489</v>
      </c>
      <c r="N18" s="142"/>
      <c r="O18" s="142"/>
      <c r="P18" s="143"/>
      <c r="Q18" s="111" t="s">
        <v>498</v>
      </c>
      <c r="R18" s="112"/>
      <c r="S18" s="112"/>
      <c r="T18" s="113"/>
    </row>
    <row r="19" spans="1:20" ht="27" thickBot="1" x14ac:dyDescent="0.45">
      <c r="A19" s="10" t="s">
        <v>283</v>
      </c>
      <c r="B19" s="45">
        <v>1500</v>
      </c>
      <c r="C19" s="46" t="s">
        <v>6</v>
      </c>
      <c r="D19" s="47" t="s">
        <v>18</v>
      </c>
      <c r="E19" s="16" t="s">
        <v>499</v>
      </c>
      <c r="F19" s="31">
        <v>443</v>
      </c>
      <c r="G19" s="32" t="s">
        <v>296</v>
      </c>
      <c r="H19" s="32" t="s">
        <v>2</v>
      </c>
      <c r="I19" s="144" t="s">
        <v>494</v>
      </c>
      <c r="J19" s="145"/>
      <c r="K19" s="145"/>
      <c r="L19" s="145"/>
      <c r="M19" s="65" t="s">
        <v>341</v>
      </c>
      <c r="N19" s="66">
        <v>1500</v>
      </c>
      <c r="O19" s="67" t="s">
        <v>32</v>
      </c>
      <c r="P19" s="68" t="s">
        <v>18</v>
      </c>
      <c r="Q19" s="80" t="s">
        <v>265</v>
      </c>
      <c r="R19" s="61">
        <v>140</v>
      </c>
      <c r="S19" s="78"/>
      <c r="T19" s="79"/>
    </row>
    <row r="20" spans="1:20" ht="27" thickBot="1" x14ac:dyDescent="0.45">
      <c r="A20" s="10" t="s">
        <v>85</v>
      </c>
      <c r="B20" s="45">
        <v>20</v>
      </c>
      <c r="C20" s="46" t="s">
        <v>6</v>
      </c>
      <c r="D20" s="47" t="s">
        <v>16</v>
      </c>
      <c r="E20" s="19" t="s">
        <v>500</v>
      </c>
      <c r="F20" s="54">
        <v>443</v>
      </c>
      <c r="G20" s="84" t="s">
        <v>296</v>
      </c>
      <c r="H20" s="85" t="s">
        <v>2</v>
      </c>
      <c r="I20" s="55" t="s">
        <v>265</v>
      </c>
      <c r="J20" s="58">
        <v>1101</v>
      </c>
      <c r="K20" s="59" t="s">
        <v>164</v>
      </c>
      <c r="L20" s="59" t="s">
        <v>2</v>
      </c>
      <c r="M20" s="65" t="s">
        <v>175</v>
      </c>
      <c r="N20" s="66">
        <v>550</v>
      </c>
      <c r="O20" s="67" t="s">
        <v>32</v>
      </c>
      <c r="P20" s="68" t="s">
        <v>2</v>
      </c>
      <c r="Q20" s="76" t="s">
        <v>388</v>
      </c>
      <c r="R20" s="91"/>
      <c r="S20" s="91">
        <f>R19</f>
        <v>140</v>
      </c>
      <c r="T20" s="92">
        <f>T17+S20</f>
        <v>3807</v>
      </c>
    </row>
    <row r="21" spans="1:20" ht="27" thickBot="1" x14ac:dyDescent="0.45">
      <c r="A21" s="10" t="s">
        <v>285</v>
      </c>
      <c r="B21" s="45">
        <v>20</v>
      </c>
      <c r="C21" s="46" t="s">
        <v>6</v>
      </c>
      <c r="D21" s="47" t="s">
        <v>12</v>
      </c>
      <c r="E21" s="16" t="s">
        <v>388</v>
      </c>
      <c r="F21" s="31"/>
      <c r="G21" s="32">
        <f>SUM(F11:F20)</f>
        <v>3120</v>
      </c>
      <c r="H21" s="32">
        <f>G9+G21</f>
        <v>5742</v>
      </c>
      <c r="I21" s="55" t="s">
        <v>288</v>
      </c>
      <c r="J21" s="58">
        <v>60</v>
      </c>
      <c r="K21" s="59" t="s">
        <v>164</v>
      </c>
      <c r="L21" s="59" t="s">
        <v>151</v>
      </c>
      <c r="M21" s="65" t="s">
        <v>334</v>
      </c>
      <c r="N21" s="66">
        <v>20</v>
      </c>
      <c r="O21" s="67" t="s">
        <v>32</v>
      </c>
      <c r="P21" s="68" t="s">
        <v>242</v>
      </c>
      <c r="Q21" s="13" t="s">
        <v>351</v>
      </c>
      <c r="R21" s="61">
        <f>SUM(R5:R19)</f>
        <v>3807</v>
      </c>
      <c r="S21" s="14"/>
      <c r="T21" s="15"/>
    </row>
    <row r="22" spans="1:20" ht="27" thickBot="1" x14ac:dyDescent="0.45">
      <c r="A22" s="10" t="s">
        <v>288</v>
      </c>
      <c r="B22" s="45">
        <v>20</v>
      </c>
      <c r="C22" s="46" t="s">
        <v>6</v>
      </c>
      <c r="D22" s="47" t="s">
        <v>151</v>
      </c>
      <c r="E22" s="139" t="s">
        <v>485</v>
      </c>
      <c r="F22" s="140"/>
      <c r="G22" s="140"/>
      <c r="H22" s="140"/>
      <c r="I22" s="55" t="s">
        <v>288</v>
      </c>
      <c r="J22" s="58">
        <v>60</v>
      </c>
      <c r="K22" s="59" t="s">
        <v>164</v>
      </c>
      <c r="L22" s="59" t="s">
        <v>151</v>
      </c>
      <c r="M22" s="97" t="s">
        <v>342</v>
      </c>
      <c r="N22" s="73">
        <v>70</v>
      </c>
      <c r="O22" s="98" t="s">
        <v>343</v>
      </c>
      <c r="P22" s="99" t="s">
        <v>2</v>
      </c>
    </row>
    <row r="23" spans="1:20" x14ac:dyDescent="0.4">
      <c r="A23" s="10" t="s">
        <v>286</v>
      </c>
      <c r="B23" s="45">
        <v>20</v>
      </c>
      <c r="C23" s="46" t="s">
        <v>6</v>
      </c>
      <c r="D23" s="47" t="s">
        <v>12</v>
      </c>
      <c r="E23" s="30" t="s">
        <v>307</v>
      </c>
      <c r="F23" s="31">
        <v>25</v>
      </c>
      <c r="G23" s="32" t="s">
        <v>308</v>
      </c>
      <c r="H23" s="32" t="s">
        <v>14</v>
      </c>
      <c r="I23" s="55" t="s">
        <v>270</v>
      </c>
      <c r="J23" s="58">
        <v>40</v>
      </c>
      <c r="K23" s="59" t="s">
        <v>164</v>
      </c>
      <c r="L23" s="59" t="s">
        <v>16</v>
      </c>
      <c r="M23" s="65" t="s">
        <v>388</v>
      </c>
      <c r="N23" s="66"/>
      <c r="O23" s="67">
        <f>SUM(N19:N22)</f>
        <v>2140</v>
      </c>
      <c r="P23" s="68">
        <f>P17+O23</f>
        <v>4260</v>
      </c>
    </row>
    <row r="24" spans="1:20" ht="27" thickBot="1" x14ac:dyDescent="0.45">
      <c r="A24" s="13" t="s">
        <v>290</v>
      </c>
      <c r="B24" s="61">
        <v>1000</v>
      </c>
      <c r="C24" s="78" t="s">
        <v>6</v>
      </c>
      <c r="D24" s="79" t="s">
        <v>18</v>
      </c>
      <c r="E24" s="30" t="s">
        <v>265</v>
      </c>
      <c r="F24" s="31">
        <v>5131</v>
      </c>
      <c r="G24" s="32" t="s">
        <v>308</v>
      </c>
      <c r="H24" s="32" t="s">
        <v>2</v>
      </c>
      <c r="I24" s="55" t="s">
        <v>268</v>
      </c>
      <c r="J24" s="58"/>
      <c r="K24" s="59" t="s">
        <v>164</v>
      </c>
      <c r="L24" s="59" t="s">
        <v>14</v>
      </c>
      <c r="M24" s="141" t="s">
        <v>490</v>
      </c>
      <c r="N24" s="142"/>
      <c r="O24" s="142"/>
      <c r="P24" s="143"/>
    </row>
    <row r="25" spans="1:20" x14ac:dyDescent="0.4">
      <c r="A25" s="10" t="s">
        <v>388</v>
      </c>
      <c r="B25" s="45"/>
      <c r="C25" s="46">
        <f>SUM(B18:B24)</f>
        <v>3994</v>
      </c>
      <c r="D25" s="47">
        <f>C16+C25</f>
        <v>7042</v>
      </c>
      <c r="E25" s="30" t="s">
        <v>269</v>
      </c>
      <c r="F25" s="31">
        <v>260</v>
      </c>
      <c r="G25" s="32" t="s">
        <v>308</v>
      </c>
      <c r="H25" s="32" t="s">
        <v>12</v>
      </c>
      <c r="I25" s="55" t="s">
        <v>324</v>
      </c>
      <c r="J25" s="58">
        <v>25</v>
      </c>
      <c r="K25" s="59" t="s">
        <v>325</v>
      </c>
      <c r="L25" s="59" t="s">
        <v>2</v>
      </c>
      <c r="M25" s="65" t="s">
        <v>265</v>
      </c>
      <c r="N25" s="66">
        <v>1240</v>
      </c>
      <c r="O25" s="67" t="s">
        <v>344</v>
      </c>
      <c r="P25" s="68" t="s">
        <v>2</v>
      </c>
    </row>
    <row r="26" spans="1:20" x14ac:dyDescent="0.4">
      <c r="A26" s="111" t="s">
        <v>479</v>
      </c>
      <c r="B26" s="112"/>
      <c r="C26" s="112"/>
      <c r="D26" s="113"/>
      <c r="E26" s="30" t="s">
        <v>288</v>
      </c>
      <c r="F26" s="31">
        <v>40</v>
      </c>
      <c r="G26" s="32" t="s">
        <v>308</v>
      </c>
      <c r="H26" s="32" t="s">
        <v>151</v>
      </c>
      <c r="I26" s="55" t="s">
        <v>326</v>
      </c>
      <c r="J26" s="58">
        <v>311</v>
      </c>
      <c r="K26" s="59" t="s">
        <v>325</v>
      </c>
      <c r="L26" s="59" t="s">
        <v>2</v>
      </c>
      <c r="M26" s="65" t="s">
        <v>361</v>
      </c>
      <c r="N26" s="66">
        <v>5240</v>
      </c>
      <c r="O26" s="67" t="s">
        <v>344</v>
      </c>
      <c r="P26" s="68" t="s">
        <v>2</v>
      </c>
    </row>
    <row r="27" spans="1:20" ht="27" thickBot="1" x14ac:dyDescent="0.45">
      <c r="A27" s="10" t="s">
        <v>289</v>
      </c>
      <c r="B27" s="45">
        <v>40</v>
      </c>
      <c r="C27" s="46" t="s">
        <v>225</v>
      </c>
      <c r="D27" s="47" t="s">
        <v>12</v>
      </c>
      <c r="E27" s="30" t="s">
        <v>270</v>
      </c>
      <c r="F27" s="31">
        <v>60</v>
      </c>
      <c r="G27" s="32" t="s">
        <v>308</v>
      </c>
      <c r="H27" s="32" t="s">
        <v>16</v>
      </c>
      <c r="I27" s="55" t="s">
        <v>364</v>
      </c>
      <c r="J27" s="58">
        <v>1313</v>
      </c>
      <c r="K27" s="59" t="s">
        <v>164</v>
      </c>
      <c r="L27" s="59" t="s">
        <v>2</v>
      </c>
      <c r="M27" s="97" t="s">
        <v>362</v>
      </c>
      <c r="N27" s="73">
        <v>6980</v>
      </c>
      <c r="O27" s="98" t="s">
        <v>344</v>
      </c>
      <c r="P27" s="99" t="s">
        <v>2</v>
      </c>
    </row>
    <row r="28" spans="1:20" ht="27" thickBot="1" x14ac:dyDescent="0.45">
      <c r="A28" s="13" t="s">
        <v>175</v>
      </c>
      <c r="B28" s="61">
        <v>60</v>
      </c>
      <c r="C28" s="78" t="s">
        <v>225</v>
      </c>
      <c r="D28" s="79" t="s">
        <v>2</v>
      </c>
      <c r="E28" s="30" t="s">
        <v>309</v>
      </c>
      <c r="F28" s="31">
        <v>25</v>
      </c>
      <c r="G28" s="32" t="s">
        <v>308</v>
      </c>
      <c r="H28" s="32" t="s">
        <v>2</v>
      </c>
      <c r="I28" s="56" t="s">
        <v>365</v>
      </c>
      <c r="J28" s="57">
        <v>1076</v>
      </c>
      <c r="K28" s="89" t="s">
        <v>164</v>
      </c>
      <c r="L28" s="90" t="s">
        <v>2</v>
      </c>
      <c r="M28" s="65" t="s">
        <v>388</v>
      </c>
      <c r="N28" s="66"/>
      <c r="O28" s="67">
        <f>N27</f>
        <v>6980</v>
      </c>
      <c r="P28" s="68">
        <f>P23+O28</f>
        <v>11240</v>
      </c>
    </row>
    <row r="29" spans="1:20" ht="27" thickBot="1" x14ac:dyDescent="0.45">
      <c r="A29" s="76" t="s">
        <v>388</v>
      </c>
      <c r="B29" s="91"/>
      <c r="C29" s="91">
        <f>B27+B28</f>
        <v>100</v>
      </c>
      <c r="D29" s="92">
        <f>D25+C29</f>
        <v>7142</v>
      </c>
      <c r="E29" s="53" t="s">
        <v>311</v>
      </c>
      <c r="F29" s="54">
        <f>110+780</f>
        <v>890</v>
      </c>
      <c r="G29" s="84" t="s">
        <v>310</v>
      </c>
      <c r="H29" s="85" t="s">
        <v>2</v>
      </c>
      <c r="I29" s="104" t="s">
        <v>388</v>
      </c>
      <c r="J29" s="96"/>
      <c r="K29" s="105">
        <f>SUM(J20:J28)</f>
        <v>3986</v>
      </c>
      <c r="L29" s="106">
        <f>L18+K29</f>
        <v>6033</v>
      </c>
      <c r="M29" s="141" t="s">
        <v>491</v>
      </c>
      <c r="N29" s="142"/>
      <c r="O29" s="142"/>
      <c r="P29" s="143"/>
    </row>
    <row r="30" spans="1:20" ht="27" thickBot="1" x14ac:dyDescent="0.45">
      <c r="A30" s="13" t="s">
        <v>279</v>
      </c>
      <c r="B30" s="61">
        <f>SUM(B5:B28)</f>
        <v>7142</v>
      </c>
      <c r="C30" s="14"/>
      <c r="D30" s="15"/>
      <c r="E30" s="86" t="s">
        <v>388</v>
      </c>
      <c r="F30" s="87"/>
      <c r="G30" s="87">
        <f>SUM(F23:F29)</f>
        <v>6431</v>
      </c>
      <c r="H30" s="88">
        <f>H21+G30</f>
        <v>12173</v>
      </c>
      <c r="I30" s="25" t="s">
        <v>321</v>
      </c>
      <c r="J30" s="57">
        <f>SUM(J5:J29)</f>
        <v>6033</v>
      </c>
      <c r="K30" s="26"/>
      <c r="L30" s="26"/>
      <c r="M30" s="65" t="s">
        <v>265</v>
      </c>
      <c r="N30" s="66">
        <f>795+136</f>
        <v>931</v>
      </c>
      <c r="O30" s="67" t="s">
        <v>345</v>
      </c>
      <c r="P30" s="68"/>
    </row>
    <row r="31" spans="1:20" ht="27" thickBot="1" x14ac:dyDescent="0.45">
      <c r="E31" s="19" t="s">
        <v>292</v>
      </c>
      <c r="F31" s="54">
        <f>SUM(F5:F29)</f>
        <v>12173</v>
      </c>
      <c r="G31" s="20"/>
      <c r="H31" s="20"/>
      <c r="M31" s="97" t="s">
        <v>348</v>
      </c>
      <c r="N31" s="73">
        <v>1500</v>
      </c>
      <c r="O31" s="98" t="s">
        <v>345</v>
      </c>
      <c r="P31" s="99" t="s">
        <v>18</v>
      </c>
    </row>
    <row r="32" spans="1:20" ht="27" thickBot="1" x14ac:dyDescent="0.45">
      <c r="M32" s="107" t="s">
        <v>388</v>
      </c>
      <c r="N32" s="108"/>
      <c r="O32" s="109">
        <f>N30+N31</f>
        <v>2431</v>
      </c>
      <c r="P32" s="110">
        <f>P28+O32</f>
        <v>13671</v>
      </c>
    </row>
    <row r="33" spans="5:16" ht="27" thickBot="1" x14ac:dyDescent="0.45">
      <c r="E33" s="1" t="s">
        <v>368</v>
      </c>
      <c r="F33" s="1">
        <f>B30+F31+J30+N33+R21</f>
        <v>49306</v>
      </c>
      <c r="H33" s="4"/>
      <c r="M33" s="72" t="s">
        <v>328</v>
      </c>
      <c r="N33" s="73">
        <f>SUM(N4:N32)</f>
        <v>20151</v>
      </c>
      <c r="O33" s="74"/>
      <c r="P33" s="75"/>
    </row>
    <row r="35" spans="5:16" x14ac:dyDescent="0.4">
      <c r="E35" s="1" t="s">
        <v>205</v>
      </c>
      <c r="F35" s="1">
        <f>'Dragon Kingdom'!F36+'Lost Cities'!F32+'Icy Wilderness'!F16+'Volcanic Isle EDITING'!F33</f>
        <v>139488</v>
      </c>
    </row>
    <row r="36" spans="5:16" x14ac:dyDescent="0.4">
      <c r="E36" s="4"/>
      <c r="F36" s="5"/>
      <c r="G36" s="4"/>
    </row>
    <row r="67" spans="1:4" x14ac:dyDescent="0.4">
      <c r="C67" s="3"/>
      <c r="D67" s="3"/>
    </row>
    <row r="71" spans="1:4" x14ac:dyDescent="0.4">
      <c r="A71" s="146"/>
      <c r="B71" s="146"/>
      <c r="C71" s="146"/>
      <c r="D71" s="146"/>
    </row>
    <row r="74" spans="1:4" x14ac:dyDescent="0.4">
      <c r="A74" s="146"/>
      <c r="B74" s="146"/>
      <c r="C74" s="146"/>
      <c r="D74" s="146"/>
    </row>
    <row r="77" spans="1:4" x14ac:dyDescent="0.4">
      <c r="A77" s="146"/>
      <c r="B77" s="146"/>
      <c r="C77" s="146"/>
      <c r="D77" s="146"/>
    </row>
  </sheetData>
  <mergeCells count="28">
    <mergeCell ref="A74:D74"/>
    <mergeCell ref="A77:D77"/>
    <mergeCell ref="Q7:T7"/>
    <mergeCell ref="Q11:T11"/>
    <mergeCell ref="M24:P24"/>
    <mergeCell ref="A26:D26"/>
    <mergeCell ref="M29:P29"/>
    <mergeCell ref="A71:D71"/>
    <mergeCell ref="I16:L16"/>
    <mergeCell ref="A17:D17"/>
    <mergeCell ref="Q18:T18"/>
    <mergeCell ref="I19:L19"/>
    <mergeCell ref="M18:P18"/>
    <mergeCell ref="E22:H22"/>
    <mergeCell ref="M12:P12"/>
    <mergeCell ref="E10:H10"/>
    <mergeCell ref="Q14:T14"/>
    <mergeCell ref="A4:D4"/>
    <mergeCell ref="E4:H4"/>
    <mergeCell ref="I4:L4"/>
    <mergeCell ref="M4:P4"/>
    <mergeCell ref="Q4:T4"/>
    <mergeCell ref="A1:T1"/>
    <mergeCell ref="A2:D2"/>
    <mergeCell ref="E2:H2"/>
    <mergeCell ref="I2:L2"/>
    <mergeCell ref="M2:P2"/>
    <mergeCell ref="Q2:T2"/>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6"/>
  <sheetViews>
    <sheetView zoomScale="76" zoomScaleNormal="60" workbookViewId="0">
      <selection activeCell="A7" sqref="A7"/>
    </sheetView>
  </sheetViews>
  <sheetFormatPr defaultRowHeight="26.25" x14ac:dyDescent="0.4"/>
  <cols>
    <col min="1" max="1" width="69.5703125" style="1" bestFit="1" customWidth="1"/>
    <col min="2" max="2" width="14.42578125" style="1" bestFit="1" customWidth="1"/>
    <col min="3" max="3" width="21.140625" style="1" bestFit="1" customWidth="1"/>
    <col min="4" max="4" width="43.5703125" style="1" bestFit="1" customWidth="1"/>
    <col min="5" max="5" width="94.28515625" style="1" customWidth="1"/>
    <col min="6" max="6" width="14.5703125" style="1" bestFit="1" customWidth="1"/>
    <col min="7" max="7" width="45.5703125" style="1" customWidth="1"/>
    <col min="8" max="8" width="43.5703125" style="1" bestFit="1" customWidth="1"/>
    <col min="9" max="9" width="86.85546875" style="1" bestFit="1" customWidth="1"/>
    <col min="10" max="10" width="14.5703125" style="1" bestFit="1" customWidth="1"/>
    <col min="11" max="11" width="21.5703125" style="1" bestFit="1" customWidth="1"/>
    <col min="12" max="12" width="43.5703125" style="1" bestFit="1" customWidth="1"/>
    <col min="13" max="16384" width="9.140625" style="1"/>
  </cols>
  <sheetData>
    <row r="1" spans="1:18" ht="27" thickBot="1" x14ac:dyDescent="0.45">
      <c r="A1" s="114" t="str">
        <f>"Dragon Kingdom (total " &amp; F36 &amp; ")"</f>
        <v>Dragon Kingdom (total 21947)</v>
      </c>
      <c r="B1" s="115"/>
      <c r="C1" s="115"/>
      <c r="D1" s="115"/>
      <c r="E1" s="115"/>
      <c r="F1" s="115"/>
      <c r="G1" s="115"/>
      <c r="H1" s="115"/>
      <c r="I1" s="115"/>
      <c r="J1" s="115"/>
      <c r="K1" s="115"/>
      <c r="L1" s="116"/>
      <c r="N1" s="2"/>
      <c r="P1" s="2"/>
      <c r="R1" s="2"/>
    </row>
    <row r="2" spans="1:18" ht="27" thickBot="1" x14ac:dyDescent="0.45">
      <c r="A2" s="117" t="s">
        <v>375</v>
      </c>
      <c r="B2" s="118"/>
      <c r="C2" s="118"/>
      <c r="D2" s="119"/>
      <c r="E2" s="120" t="s">
        <v>367</v>
      </c>
      <c r="F2" s="121"/>
      <c r="G2" s="121"/>
      <c r="H2" s="122"/>
      <c r="I2" s="123" t="s">
        <v>376</v>
      </c>
      <c r="J2" s="124"/>
      <c r="K2" s="124"/>
      <c r="L2" s="125"/>
    </row>
    <row r="3" spans="1:18" ht="27" thickBot="1" x14ac:dyDescent="0.45">
      <c r="A3" s="7" t="s">
        <v>0</v>
      </c>
      <c r="B3" s="8" t="s">
        <v>1</v>
      </c>
      <c r="C3" s="8" t="s">
        <v>19</v>
      </c>
      <c r="D3" s="9" t="s">
        <v>20</v>
      </c>
      <c r="E3" s="44" t="s">
        <v>0</v>
      </c>
      <c r="F3" s="28" t="s">
        <v>1</v>
      </c>
      <c r="G3" s="28" t="s">
        <v>19</v>
      </c>
      <c r="H3" s="29" t="s">
        <v>20</v>
      </c>
      <c r="I3" s="33" t="s">
        <v>0</v>
      </c>
      <c r="J3" s="34" t="s">
        <v>1</v>
      </c>
      <c r="K3" s="34" t="s">
        <v>19</v>
      </c>
      <c r="L3" s="35" t="s">
        <v>20</v>
      </c>
    </row>
    <row r="4" spans="1:18" x14ac:dyDescent="0.4">
      <c r="A4" s="129" t="s">
        <v>23</v>
      </c>
      <c r="B4" s="130"/>
      <c r="C4" s="130"/>
      <c r="D4" s="131"/>
      <c r="E4" s="139" t="s">
        <v>64</v>
      </c>
      <c r="F4" s="140"/>
      <c r="G4" s="140"/>
      <c r="H4" s="147"/>
      <c r="I4" s="144" t="s">
        <v>64</v>
      </c>
      <c r="J4" s="145"/>
      <c r="K4" s="145"/>
      <c r="L4" s="148"/>
    </row>
    <row r="5" spans="1:18" x14ac:dyDescent="0.4">
      <c r="A5" s="10" t="s">
        <v>24</v>
      </c>
      <c r="B5" s="11">
        <v>336</v>
      </c>
      <c r="C5" s="11" t="s">
        <v>2</v>
      </c>
      <c r="D5" s="12" t="s">
        <v>3</v>
      </c>
      <c r="E5" s="16" t="s">
        <v>43</v>
      </c>
      <c r="F5" s="17">
        <v>873</v>
      </c>
      <c r="G5" s="17" t="s">
        <v>2</v>
      </c>
      <c r="H5" s="18" t="s">
        <v>2</v>
      </c>
      <c r="I5" s="22" t="s">
        <v>72</v>
      </c>
      <c r="J5" s="23">
        <v>896</v>
      </c>
      <c r="K5" s="23" t="s">
        <v>2</v>
      </c>
      <c r="L5" s="24" t="s">
        <v>2</v>
      </c>
    </row>
    <row r="6" spans="1:18" x14ac:dyDescent="0.4">
      <c r="A6" s="10" t="s">
        <v>25</v>
      </c>
      <c r="B6" s="11">
        <v>175</v>
      </c>
      <c r="C6" s="11" t="s">
        <v>2</v>
      </c>
      <c r="D6" s="12" t="s">
        <v>26</v>
      </c>
      <c r="E6" s="16" t="s">
        <v>44</v>
      </c>
      <c r="F6" s="17">
        <v>345</v>
      </c>
      <c r="G6" s="17" t="s">
        <v>2</v>
      </c>
      <c r="H6" s="18" t="s">
        <v>12</v>
      </c>
      <c r="I6" s="22" t="s">
        <v>78</v>
      </c>
      <c r="J6" s="23">
        <v>395</v>
      </c>
      <c r="K6" s="23" t="s">
        <v>2</v>
      </c>
      <c r="L6" s="24" t="s">
        <v>12</v>
      </c>
    </row>
    <row r="7" spans="1:18" x14ac:dyDescent="0.4">
      <c r="A7" s="10" t="s">
        <v>27</v>
      </c>
      <c r="B7" s="11">
        <v>100</v>
      </c>
      <c r="C7" s="11" t="s">
        <v>2</v>
      </c>
      <c r="D7" s="12" t="s">
        <v>28</v>
      </c>
      <c r="E7" s="16" t="s">
        <v>80</v>
      </c>
      <c r="F7" s="17">
        <v>161</v>
      </c>
      <c r="G7" s="17" t="s">
        <v>2</v>
      </c>
      <c r="H7" s="18" t="s">
        <v>14</v>
      </c>
      <c r="I7" s="22" t="s">
        <v>79</v>
      </c>
      <c r="J7" s="23">
        <v>1511</v>
      </c>
      <c r="K7" s="23" t="s">
        <v>2</v>
      </c>
      <c r="L7" s="24" t="s">
        <v>2</v>
      </c>
    </row>
    <row r="8" spans="1:18" x14ac:dyDescent="0.4">
      <c r="A8" s="10" t="s">
        <v>29</v>
      </c>
      <c r="B8" s="11">
        <v>300</v>
      </c>
      <c r="C8" s="11" t="s">
        <v>2</v>
      </c>
      <c r="D8" s="12" t="s">
        <v>30</v>
      </c>
      <c r="E8" s="16" t="s">
        <v>52</v>
      </c>
      <c r="F8" s="17">
        <v>75</v>
      </c>
      <c r="G8" s="17" t="s">
        <v>32</v>
      </c>
      <c r="H8" s="18" t="s">
        <v>2</v>
      </c>
      <c r="I8" s="22" t="s">
        <v>76</v>
      </c>
      <c r="J8" s="23">
        <v>75</v>
      </c>
      <c r="K8" s="23" t="s">
        <v>2</v>
      </c>
      <c r="L8" s="24" t="s">
        <v>77</v>
      </c>
    </row>
    <row r="9" spans="1:18" x14ac:dyDescent="0.4">
      <c r="A9" s="111" t="s">
        <v>31</v>
      </c>
      <c r="B9" s="112"/>
      <c r="C9" s="112"/>
      <c r="D9" s="113"/>
      <c r="E9" s="16" t="s">
        <v>53</v>
      </c>
      <c r="F9" s="17">
        <v>25</v>
      </c>
      <c r="G9" s="17" t="s">
        <v>32</v>
      </c>
      <c r="H9" s="18" t="s">
        <v>2</v>
      </c>
      <c r="I9" s="22" t="s">
        <v>88</v>
      </c>
      <c r="J9" s="23">
        <v>55</v>
      </c>
      <c r="K9" s="23" t="s">
        <v>2</v>
      </c>
      <c r="L9" s="24" t="s">
        <v>14</v>
      </c>
    </row>
    <row r="10" spans="1:18" x14ac:dyDescent="0.4">
      <c r="A10" s="10" t="s">
        <v>25</v>
      </c>
      <c r="B10" s="11">
        <v>150</v>
      </c>
      <c r="C10" s="11" t="s">
        <v>32</v>
      </c>
      <c r="D10" s="12" t="s">
        <v>2</v>
      </c>
      <c r="E10" s="16" t="s">
        <v>65</v>
      </c>
      <c r="F10" s="17">
        <v>1000</v>
      </c>
      <c r="G10" s="17" t="s">
        <v>2</v>
      </c>
      <c r="H10" s="18" t="s">
        <v>66</v>
      </c>
      <c r="I10" s="22" t="s">
        <v>85</v>
      </c>
      <c r="J10" s="23">
        <v>100</v>
      </c>
      <c r="K10" s="23" t="s">
        <v>2</v>
      </c>
      <c r="L10" s="24" t="s">
        <v>16</v>
      </c>
    </row>
    <row r="11" spans="1:18" x14ac:dyDescent="0.4">
      <c r="A11" s="111" t="s">
        <v>21</v>
      </c>
      <c r="B11" s="112"/>
      <c r="C11" s="112"/>
      <c r="D11" s="113"/>
      <c r="E11" s="16" t="s">
        <v>67</v>
      </c>
      <c r="F11" s="17">
        <v>2500</v>
      </c>
      <c r="G11" s="17" t="s">
        <v>2</v>
      </c>
      <c r="H11" s="18" t="s">
        <v>69</v>
      </c>
      <c r="I11" s="22" t="s">
        <v>90</v>
      </c>
      <c r="J11" s="23">
        <v>100</v>
      </c>
      <c r="K11" s="23" t="s">
        <v>89</v>
      </c>
      <c r="L11" s="24" t="s">
        <v>32</v>
      </c>
    </row>
    <row r="12" spans="1:18" x14ac:dyDescent="0.4">
      <c r="A12" s="10" t="s">
        <v>4</v>
      </c>
      <c r="B12" s="11">
        <v>31</v>
      </c>
      <c r="C12" s="11" t="s">
        <v>6</v>
      </c>
      <c r="D12" s="12" t="s">
        <v>2</v>
      </c>
      <c r="E12" s="16" t="s">
        <v>68</v>
      </c>
      <c r="F12" s="17">
        <v>50</v>
      </c>
      <c r="G12" s="17" t="s">
        <v>69</v>
      </c>
      <c r="H12" s="18" t="s">
        <v>2</v>
      </c>
      <c r="I12" s="144" t="s">
        <v>75</v>
      </c>
      <c r="J12" s="145"/>
      <c r="K12" s="145"/>
      <c r="L12" s="148"/>
    </row>
    <row r="13" spans="1:18" x14ac:dyDescent="0.4">
      <c r="A13" s="10" t="s">
        <v>5</v>
      </c>
      <c r="B13" s="11">
        <v>280</v>
      </c>
      <c r="C13" s="11" t="s">
        <v>6</v>
      </c>
      <c r="D13" s="12" t="s">
        <v>2</v>
      </c>
      <c r="E13" s="16" t="s">
        <v>70</v>
      </c>
      <c r="F13" s="17">
        <v>500</v>
      </c>
      <c r="G13" s="17" t="s">
        <v>2</v>
      </c>
      <c r="H13" s="18" t="s">
        <v>18</v>
      </c>
      <c r="I13" s="22" t="s">
        <v>73</v>
      </c>
      <c r="J13" s="23">
        <v>250</v>
      </c>
      <c r="K13" s="23" t="s">
        <v>32</v>
      </c>
      <c r="L13" s="24" t="s">
        <v>2</v>
      </c>
    </row>
    <row r="14" spans="1:18" x14ac:dyDescent="0.4">
      <c r="A14" s="10" t="s">
        <v>10</v>
      </c>
      <c r="B14" s="11">
        <v>40</v>
      </c>
      <c r="C14" s="11" t="s">
        <v>6</v>
      </c>
      <c r="D14" s="12" t="s">
        <v>11</v>
      </c>
      <c r="E14" s="139" t="s">
        <v>46</v>
      </c>
      <c r="F14" s="140"/>
      <c r="G14" s="140"/>
      <c r="H14" s="147"/>
      <c r="I14" s="22" t="s">
        <v>74</v>
      </c>
      <c r="J14" s="23">
        <v>899</v>
      </c>
      <c r="K14" s="23" t="s">
        <v>32</v>
      </c>
      <c r="L14" s="24" t="s">
        <v>2</v>
      </c>
    </row>
    <row r="15" spans="1:18" x14ac:dyDescent="0.4">
      <c r="A15" s="111" t="s">
        <v>366</v>
      </c>
      <c r="B15" s="112"/>
      <c r="C15" s="112"/>
      <c r="D15" s="113"/>
      <c r="E15" s="16" t="s">
        <v>45</v>
      </c>
      <c r="F15" s="17">
        <v>25</v>
      </c>
      <c r="G15" s="17" t="s">
        <v>2</v>
      </c>
      <c r="H15" s="18" t="s">
        <v>12</v>
      </c>
      <c r="I15" s="144" t="s">
        <v>81</v>
      </c>
      <c r="J15" s="145"/>
      <c r="K15" s="145"/>
      <c r="L15" s="148"/>
    </row>
    <row r="16" spans="1:18" x14ac:dyDescent="0.4">
      <c r="A16" s="10" t="s">
        <v>8</v>
      </c>
      <c r="B16" s="11">
        <v>426</v>
      </c>
      <c r="C16" s="11" t="s">
        <v>7</v>
      </c>
      <c r="D16" s="12" t="s">
        <v>2</v>
      </c>
      <c r="E16" s="16" t="s">
        <v>47</v>
      </c>
      <c r="F16" s="17">
        <v>80</v>
      </c>
      <c r="G16" s="17" t="s">
        <v>2</v>
      </c>
      <c r="H16" s="18" t="s">
        <v>2</v>
      </c>
      <c r="I16" s="22" t="s">
        <v>83</v>
      </c>
      <c r="J16" s="23">
        <v>289</v>
      </c>
      <c r="K16" s="23" t="s">
        <v>82</v>
      </c>
      <c r="L16" s="24" t="s">
        <v>2</v>
      </c>
    </row>
    <row r="17" spans="1:12" x14ac:dyDescent="0.4">
      <c r="A17" s="10" t="s">
        <v>9</v>
      </c>
      <c r="B17" s="11">
        <v>20</v>
      </c>
      <c r="C17" s="11" t="s">
        <v>7</v>
      </c>
      <c r="D17" s="12" t="s">
        <v>12</v>
      </c>
      <c r="E17" s="139" t="s">
        <v>48</v>
      </c>
      <c r="F17" s="140"/>
      <c r="G17" s="140"/>
      <c r="H17" s="147"/>
      <c r="I17" s="22" t="s">
        <v>84</v>
      </c>
      <c r="J17" s="23">
        <v>60</v>
      </c>
      <c r="K17" s="23" t="s">
        <v>82</v>
      </c>
      <c r="L17" s="24" t="s">
        <v>14</v>
      </c>
    </row>
    <row r="18" spans="1:12" x14ac:dyDescent="0.4">
      <c r="A18" s="10" t="s">
        <v>13</v>
      </c>
      <c r="B18" s="11">
        <v>20</v>
      </c>
      <c r="C18" s="11" t="s">
        <v>7</v>
      </c>
      <c r="D18" s="12" t="s">
        <v>14</v>
      </c>
      <c r="E18" s="16" t="s">
        <v>50</v>
      </c>
      <c r="F18" s="17">
        <v>70</v>
      </c>
      <c r="G18" s="17" t="s">
        <v>49</v>
      </c>
      <c r="H18" s="18" t="s">
        <v>12</v>
      </c>
      <c r="I18" s="22" t="s">
        <v>85</v>
      </c>
      <c r="J18" s="23">
        <v>40</v>
      </c>
      <c r="K18" s="23" t="s">
        <v>82</v>
      </c>
      <c r="L18" s="24" t="s">
        <v>16</v>
      </c>
    </row>
    <row r="19" spans="1:12" x14ac:dyDescent="0.4">
      <c r="A19" s="10" t="s">
        <v>15</v>
      </c>
      <c r="B19" s="11">
        <v>20</v>
      </c>
      <c r="C19" s="11" t="s">
        <v>7</v>
      </c>
      <c r="D19" s="12" t="s">
        <v>16</v>
      </c>
      <c r="E19" s="16" t="s">
        <v>51</v>
      </c>
      <c r="F19" s="17">
        <v>175</v>
      </c>
      <c r="G19" s="17" t="s">
        <v>49</v>
      </c>
      <c r="H19" s="18" t="s">
        <v>2</v>
      </c>
      <c r="I19" s="22" t="s">
        <v>86</v>
      </c>
      <c r="J19" s="23">
        <v>75</v>
      </c>
      <c r="K19" s="23" t="s">
        <v>82</v>
      </c>
      <c r="L19" s="24" t="s">
        <v>12</v>
      </c>
    </row>
    <row r="20" spans="1:12" x14ac:dyDescent="0.4">
      <c r="A20" s="10" t="s">
        <v>17</v>
      </c>
      <c r="B20" s="11">
        <v>500</v>
      </c>
      <c r="C20" s="11" t="s">
        <v>7</v>
      </c>
      <c r="D20" s="12" t="s">
        <v>18</v>
      </c>
      <c r="E20" s="139" t="s">
        <v>55</v>
      </c>
      <c r="F20" s="140"/>
      <c r="G20" s="140"/>
      <c r="H20" s="147"/>
      <c r="I20" s="22" t="s">
        <v>87</v>
      </c>
      <c r="J20" s="23">
        <v>187</v>
      </c>
      <c r="K20" s="23" t="s">
        <v>82</v>
      </c>
      <c r="L20" s="24" t="s">
        <v>2</v>
      </c>
    </row>
    <row r="21" spans="1:12" x14ac:dyDescent="0.4">
      <c r="A21" s="111" t="s">
        <v>35</v>
      </c>
      <c r="B21" s="112"/>
      <c r="C21" s="112"/>
      <c r="D21" s="113"/>
      <c r="E21" s="16" t="s">
        <v>56</v>
      </c>
      <c r="F21" s="17">
        <v>160</v>
      </c>
      <c r="G21" s="17" t="s">
        <v>54</v>
      </c>
      <c r="H21" s="18" t="s">
        <v>2</v>
      </c>
      <c r="I21" s="144" t="s">
        <v>91</v>
      </c>
      <c r="J21" s="145"/>
      <c r="K21" s="145"/>
      <c r="L21" s="148"/>
    </row>
    <row r="22" spans="1:12" x14ac:dyDescent="0.4">
      <c r="A22" s="10" t="s">
        <v>8</v>
      </c>
      <c r="B22" s="11">
        <v>99</v>
      </c>
      <c r="C22" s="11" t="s">
        <v>7</v>
      </c>
      <c r="D22" s="12" t="s">
        <v>2</v>
      </c>
      <c r="E22" s="16" t="s">
        <v>45</v>
      </c>
      <c r="F22" s="17">
        <v>25</v>
      </c>
      <c r="G22" s="17" t="s">
        <v>54</v>
      </c>
      <c r="H22" s="18" t="s">
        <v>12</v>
      </c>
      <c r="I22" s="22" t="s">
        <v>92</v>
      </c>
      <c r="J22" s="23">
        <f>1166+90</f>
        <v>1256</v>
      </c>
      <c r="K22" s="23" t="s">
        <v>2</v>
      </c>
      <c r="L22" s="24" t="s">
        <v>2</v>
      </c>
    </row>
    <row r="23" spans="1:12" x14ac:dyDescent="0.4">
      <c r="A23" s="10" t="s">
        <v>17</v>
      </c>
      <c r="B23" s="11">
        <v>500</v>
      </c>
      <c r="C23" s="11" t="s">
        <v>7</v>
      </c>
      <c r="D23" s="12" t="s">
        <v>18</v>
      </c>
      <c r="E23" s="16" t="s">
        <v>57</v>
      </c>
      <c r="F23" s="17">
        <v>500</v>
      </c>
      <c r="G23" s="17" t="s">
        <v>54</v>
      </c>
      <c r="H23" s="18" t="s">
        <v>18</v>
      </c>
      <c r="I23" s="22" t="s">
        <v>93</v>
      </c>
      <c r="J23" s="23">
        <v>143</v>
      </c>
      <c r="K23" s="23" t="s">
        <v>2</v>
      </c>
      <c r="L23" s="24" t="s">
        <v>94</v>
      </c>
    </row>
    <row r="24" spans="1:12" x14ac:dyDescent="0.4">
      <c r="A24" s="10" t="s">
        <v>22</v>
      </c>
      <c r="B24" s="11">
        <v>40</v>
      </c>
      <c r="C24" s="11" t="s">
        <v>7</v>
      </c>
      <c r="D24" s="12" t="s">
        <v>16</v>
      </c>
      <c r="E24" s="16" t="s">
        <v>58</v>
      </c>
      <c r="F24" s="17">
        <v>500</v>
      </c>
      <c r="G24" s="17" t="s">
        <v>59</v>
      </c>
      <c r="H24" s="18" t="s">
        <v>18</v>
      </c>
      <c r="I24" s="22" t="s">
        <v>95</v>
      </c>
      <c r="J24" s="23">
        <v>50</v>
      </c>
      <c r="K24" s="23" t="s">
        <v>2</v>
      </c>
      <c r="L24" s="24" t="s">
        <v>94</v>
      </c>
    </row>
    <row r="25" spans="1:12" x14ac:dyDescent="0.4">
      <c r="A25" s="111" t="s">
        <v>33</v>
      </c>
      <c r="B25" s="112"/>
      <c r="C25" s="112"/>
      <c r="D25" s="113"/>
      <c r="E25" s="139" t="s">
        <v>60</v>
      </c>
      <c r="F25" s="140"/>
      <c r="G25" s="140"/>
      <c r="H25" s="147"/>
      <c r="I25" s="144" t="s">
        <v>363</v>
      </c>
      <c r="J25" s="145"/>
      <c r="K25" s="145"/>
      <c r="L25" s="148"/>
    </row>
    <row r="26" spans="1:12" x14ac:dyDescent="0.4">
      <c r="A26" s="10" t="s">
        <v>34</v>
      </c>
      <c r="B26" s="11">
        <v>500</v>
      </c>
      <c r="C26" s="11" t="s">
        <v>6</v>
      </c>
      <c r="D26" s="12" t="s">
        <v>18</v>
      </c>
      <c r="E26" s="16" t="s">
        <v>50</v>
      </c>
      <c r="F26" s="17">
        <v>75</v>
      </c>
      <c r="G26" s="17" t="s">
        <v>54</v>
      </c>
      <c r="H26" s="18" t="s">
        <v>12</v>
      </c>
      <c r="I26" s="22" t="s">
        <v>364</v>
      </c>
      <c r="J26" s="23">
        <v>695</v>
      </c>
      <c r="K26" s="23" t="s">
        <v>2</v>
      </c>
      <c r="L26" s="24" t="s">
        <v>2</v>
      </c>
    </row>
    <row r="27" spans="1:12" x14ac:dyDescent="0.4">
      <c r="A27" s="10" t="s">
        <v>36</v>
      </c>
      <c r="B27" s="11">
        <v>215</v>
      </c>
      <c r="C27" s="11" t="s">
        <v>6</v>
      </c>
      <c r="D27" s="12" t="s">
        <v>2</v>
      </c>
      <c r="E27" s="16" t="s">
        <v>61</v>
      </c>
      <c r="F27" s="17">
        <v>25</v>
      </c>
      <c r="G27" s="17" t="s">
        <v>54</v>
      </c>
      <c r="H27" s="18" t="s">
        <v>2</v>
      </c>
      <c r="I27" s="22" t="s">
        <v>365</v>
      </c>
      <c r="J27" s="23">
        <v>828</v>
      </c>
      <c r="K27" s="23" t="s">
        <v>2</v>
      </c>
      <c r="L27" s="24" t="s">
        <v>2</v>
      </c>
    </row>
    <row r="28" spans="1:12" x14ac:dyDescent="0.4">
      <c r="A28" s="111" t="s">
        <v>38</v>
      </c>
      <c r="B28" s="112"/>
      <c r="C28" s="112"/>
      <c r="D28" s="113"/>
      <c r="E28" s="139" t="s">
        <v>62</v>
      </c>
      <c r="F28" s="140"/>
      <c r="G28" s="140"/>
      <c r="H28" s="147"/>
      <c r="I28" s="22"/>
      <c r="J28" s="23"/>
      <c r="K28" s="23"/>
      <c r="L28" s="24"/>
    </row>
    <row r="29" spans="1:12" ht="27" thickBot="1" x14ac:dyDescent="0.45">
      <c r="A29" s="10" t="s">
        <v>37</v>
      </c>
      <c r="B29" s="11">
        <v>396</v>
      </c>
      <c r="C29" s="11" t="s">
        <v>6</v>
      </c>
      <c r="D29" s="12" t="s">
        <v>2</v>
      </c>
      <c r="E29" s="16" t="s">
        <v>63</v>
      </c>
      <c r="F29" s="17">
        <v>75</v>
      </c>
      <c r="G29" s="17" t="s">
        <v>54</v>
      </c>
      <c r="H29" s="18" t="s">
        <v>2</v>
      </c>
      <c r="I29" s="25" t="s">
        <v>96</v>
      </c>
      <c r="J29" s="26">
        <f>SUM(J5:J27)</f>
        <v>7904</v>
      </c>
      <c r="K29" s="26"/>
      <c r="L29" s="27"/>
    </row>
    <row r="30" spans="1:12" x14ac:dyDescent="0.4">
      <c r="A30" s="10" t="s">
        <v>17</v>
      </c>
      <c r="B30" s="11">
        <v>500</v>
      </c>
      <c r="C30" s="11" t="s">
        <v>6</v>
      </c>
      <c r="D30" s="12" t="s">
        <v>39</v>
      </c>
      <c r="E30" s="139" t="s">
        <v>360</v>
      </c>
      <c r="F30" s="140"/>
      <c r="G30" s="140"/>
      <c r="H30" s="147"/>
    </row>
    <row r="31" spans="1:12" x14ac:dyDescent="0.4">
      <c r="A31" s="111" t="s">
        <v>40</v>
      </c>
      <c r="B31" s="112"/>
      <c r="C31" s="112"/>
      <c r="D31" s="113"/>
      <c r="E31" s="16" t="s">
        <v>361</v>
      </c>
      <c r="F31" s="17">
        <v>928</v>
      </c>
      <c r="G31" s="17" t="s">
        <v>2</v>
      </c>
      <c r="H31" s="18" t="s">
        <v>2</v>
      </c>
    </row>
    <row r="32" spans="1:12" x14ac:dyDescent="0.4">
      <c r="A32" s="10" t="s">
        <v>37</v>
      </c>
      <c r="B32" s="11">
        <v>310</v>
      </c>
      <c r="C32" s="11" t="s">
        <v>41</v>
      </c>
      <c r="D32" s="12" t="s">
        <v>2</v>
      </c>
      <c r="E32" s="16" t="s">
        <v>362</v>
      </c>
      <c r="F32" s="17">
        <v>878</v>
      </c>
      <c r="G32" s="17" t="s">
        <v>2</v>
      </c>
      <c r="H32" s="18" t="s">
        <v>2</v>
      </c>
    </row>
    <row r="33" spans="1:8" x14ac:dyDescent="0.4">
      <c r="A33" s="10" t="s">
        <v>42</v>
      </c>
      <c r="B33" s="11">
        <f>4973-4933</f>
        <v>40</v>
      </c>
      <c r="C33" s="11" t="s">
        <v>41</v>
      </c>
      <c r="D33" s="12" t="s">
        <v>12</v>
      </c>
      <c r="E33" s="16"/>
      <c r="F33" s="17"/>
      <c r="G33" s="17"/>
      <c r="H33" s="18"/>
    </row>
    <row r="34" spans="1:8" ht="27" thickBot="1" x14ac:dyDescent="0.45">
      <c r="A34" s="10"/>
      <c r="B34" s="11"/>
      <c r="C34" s="11"/>
      <c r="D34" s="12"/>
      <c r="E34" s="19" t="s">
        <v>71</v>
      </c>
      <c r="F34" s="20">
        <f>SUM(F5:F32)</f>
        <v>9045</v>
      </c>
      <c r="G34" s="20"/>
      <c r="H34" s="21"/>
    </row>
    <row r="35" spans="1:8" ht="27" thickBot="1" x14ac:dyDescent="0.45">
      <c r="A35" s="13" t="s">
        <v>97</v>
      </c>
      <c r="B35" s="14">
        <f>SUM(B2:B33)</f>
        <v>4998</v>
      </c>
      <c r="C35" s="14"/>
      <c r="D35" s="15"/>
    </row>
    <row r="36" spans="1:8" x14ac:dyDescent="0.4">
      <c r="E36" s="1" t="s">
        <v>206</v>
      </c>
      <c r="F36" s="1">
        <f>B35+F34+J29</f>
        <v>21947</v>
      </c>
    </row>
  </sheetData>
  <mergeCells count="24">
    <mergeCell ref="A1:L1"/>
    <mergeCell ref="E4:H4"/>
    <mergeCell ref="E14:H14"/>
    <mergeCell ref="A15:D15"/>
    <mergeCell ref="A11:D11"/>
    <mergeCell ref="I4:L4"/>
    <mergeCell ref="I12:L12"/>
    <mergeCell ref="I15:L15"/>
    <mergeCell ref="I21:L21"/>
    <mergeCell ref="A31:D31"/>
    <mergeCell ref="E2:H2"/>
    <mergeCell ref="I2:L2"/>
    <mergeCell ref="E17:H17"/>
    <mergeCell ref="E20:H20"/>
    <mergeCell ref="E25:H25"/>
    <mergeCell ref="E28:H28"/>
    <mergeCell ref="A21:D21"/>
    <mergeCell ref="A2:D2"/>
    <mergeCell ref="A4:D4"/>
    <mergeCell ref="A9:D9"/>
    <mergeCell ref="A25:D25"/>
    <mergeCell ref="A28:D28"/>
    <mergeCell ref="E30:H30"/>
    <mergeCell ref="I25:L25"/>
  </mergeCells>
  <pageMargins left="0.7" right="0.7" top="0.75" bottom="0.75" header="0.3" footer="0.3"/>
  <pageSetup orientation="portrait" horizontalDpi="300" verticalDpi="30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C8F7D-2047-452A-AC0E-9F4FA932D32A}">
  <dimension ref="A1:R70"/>
  <sheetViews>
    <sheetView topLeftCell="E5" zoomScale="70" zoomScaleNormal="70" workbookViewId="0">
      <selection activeCell="J17" sqref="J17"/>
    </sheetView>
  </sheetViews>
  <sheetFormatPr defaultRowHeight="26.25" x14ac:dyDescent="0.4"/>
  <cols>
    <col min="1" max="1" width="118.28515625" style="1" bestFit="1" customWidth="1"/>
    <col min="2" max="2" width="17.85546875" style="1" bestFit="1" customWidth="1"/>
    <col min="3" max="3" width="36" style="1" bestFit="1" customWidth="1"/>
    <col min="4" max="4" width="48.28515625" style="1" bestFit="1" customWidth="1"/>
    <col min="5" max="5" width="92.7109375" style="1" bestFit="1" customWidth="1"/>
    <col min="6" max="6" width="14.42578125" style="1" customWidth="1"/>
    <col min="7" max="7" width="44.28515625" style="1" bestFit="1" customWidth="1"/>
    <col min="8" max="8" width="58.7109375" style="1" bestFit="1" customWidth="1"/>
    <col min="9" max="9" width="84.42578125" style="1" bestFit="1" customWidth="1"/>
    <col min="10" max="10" width="14.42578125" style="1" bestFit="1" customWidth="1"/>
    <col min="11" max="11" width="50.7109375" style="1" bestFit="1" customWidth="1"/>
    <col min="12" max="12" width="49.140625" style="1" bestFit="1" customWidth="1"/>
    <col min="13" max="16384" width="9.140625" style="1"/>
  </cols>
  <sheetData>
    <row r="1" spans="1:18" ht="27" thickBot="1" x14ac:dyDescent="0.45">
      <c r="A1" s="149" t="str">
        <f>"Lost Cities (total " &amp; F32 &amp; ")"</f>
        <v>Lost Cities (total 34247)</v>
      </c>
      <c r="B1" s="150"/>
      <c r="C1" s="150"/>
      <c r="D1" s="150"/>
      <c r="E1" s="150"/>
      <c r="F1" s="150"/>
      <c r="G1" s="150"/>
      <c r="H1" s="150"/>
      <c r="I1" s="150"/>
      <c r="J1" s="150"/>
      <c r="K1" s="150"/>
      <c r="L1" s="151"/>
      <c r="N1" s="2"/>
      <c r="P1" s="2"/>
      <c r="R1" s="2"/>
    </row>
    <row r="2" spans="1:18" ht="27" thickBot="1" x14ac:dyDescent="0.45">
      <c r="A2" s="117" t="s">
        <v>98</v>
      </c>
      <c r="B2" s="118"/>
      <c r="C2" s="118"/>
      <c r="D2" s="119"/>
      <c r="E2" s="120" t="s">
        <v>146</v>
      </c>
      <c r="F2" s="121"/>
      <c r="G2" s="121"/>
      <c r="H2" s="122"/>
      <c r="I2" s="123" t="s">
        <v>170</v>
      </c>
      <c r="J2" s="124"/>
      <c r="K2" s="124"/>
      <c r="L2" s="125"/>
    </row>
    <row r="3" spans="1:18" ht="27" thickBot="1" x14ac:dyDescent="0.45">
      <c r="A3" s="36" t="s">
        <v>0</v>
      </c>
      <c r="B3" s="37" t="s">
        <v>1</v>
      </c>
      <c r="C3" s="37" t="s">
        <v>19</v>
      </c>
      <c r="D3" s="38" t="s">
        <v>20</v>
      </c>
      <c r="E3" s="39" t="s">
        <v>0</v>
      </c>
      <c r="F3" s="39" t="s">
        <v>1</v>
      </c>
      <c r="G3" s="39" t="s">
        <v>19</v>
      </c>
      <c r="H3" s="40" t="s">
        <v>20</v>
      </c>
      <c r="I3" s="41" t="s">
        <v>0</v>
      </c>
      <c r="J3" s="42" t="s">
        <v>1</v>
      </c>
      <c r="K3" s="42" t="s">
        <v>19</v>
      </c>
      <c r="L3" s="43" t="s">
        <v>20</v>
      </c>
    </row>
    <row r="4" spans="1:18" x14ac:dyDescent="0.4">
      <c r="A4" s="111" t="s">
        <v>102</v>
      </c>
      <c r="B4" s="112"/>
      <c r="C4" s="112"/>
      <c r="D4" s="113"/>
      <c r="E4" s="132" t="s">
        <v>64</v>
      </c>
      <c r="F4" s="133"/>
      <c r="G4" s="133"/>
      <c r="H4" s="133"/>
      <c r="I4" s="134" t="s">
        <v>64</v>
      </c>
      <c r="J4" s="135"/>
      <c r="K4" s="135"/>
      <c r="L4" s="152"/>
    </row>
    <row r="5" spans="1:18" x14ac:dyDescent="0.4">
      <c r="A5" s="10" t="s">
        <v>100</v>
      </c>
      <c r="B5" s="11">
        <v>722</v>
      </c>
      <c r="C5" s="11" t="s">
        <v>2</v>
      </c>
      <c r="D5" s="12" t="s">
        <v>2</v>
      </c>
      <c r="E5" s="16" t="s">
        <v>149</v>
      </c>
      <c r="F5" s="17">
        <v>507</v>
      </c>
      <c r="G5" s="17" t="s">
        <v>2</v>
      </c>
      <c r="H5" s="17" t="s">
        <v>2</v>
      </c>
      <c r="I5" s="22" t="s">
        <v>172</v>
      </c>
      <c r="J5" s="23">
        <v>240</v>
      </c>
      <c r="K5" s="23" t="s">
        <v>2</v>
      </c>
      <c r="L5" s="24" t="s">
        <v>2</v>
      </c>
    </row>
    <row r="6" spans="1:18" x14ac:dyDescent="0.4">
      <c r="A6" s="10" t="s">
        <v>25</v>
      </c>
      <c r="B6" s="11">
        <v>750</v>
      </c>
      <c r="C6" s="11" t="s">
        <v>2</v>
      </c>
      <c r="D6" s="12" t="s">
        <v>26</v>
      </c>
      <c r="E6" s="16" t="s">
        <v>148</v>
      </c>
      <c r="F6" s="17">
        <v>125</v>
      </c>
      <c r="G6" s="17" t="s">
        <v>2</v>
      </c>
      <c r="H6" s="17" t="s">
        <v>77</v>
      </c>
      <c r="I6" s="22" t="s">
        <v>174</v>
      </c>
      <c r="J6" s="23">
        <v>125</v>
      </c>
      <c r="K6" s="23" t="s">
        <v>2</v>
      </c>
      <c r="L6" s="24" t="s">
        <v>12</v>
      </c>
    </row>
    <row r="7" spans="1:18" x14ac:dyDescent="0.4">
      <c r="A7" s="10" t="s">
        <v>101</v>
      </c>
      <c r="B7" s="11">
        <v>350</v>
      </c>
      <c r="C7" s="11" t="s">
        <v>2</v>
      </c>
      <c r="D7" s="12" t="s">
        <v>28</v>
      </c>
      <c r="E7" s="16" t="s">
        <v>84</v>
      </c>
      <c r="F7" s="17">
        <v>80</v>
      </c>
      <c r="G7" s="17" t="s">
        <v>2</v>
      </c>
      <c r="H7" s="17" t="s">
        <v>14</v>
      </c>
      <c r="I7" s="144" t="s">
        <v>177</v>
      </c>
      <c r="J7" s="145"/>
      <c r="K7" s="145"/>
      <c r="L7" s="148"/>
    </row>
    <row r="8" spans="1:18" x14ac:dyDescent="0.4">
      <c r="A8" s="10" t="s">
        <v>103</v>
      </c>
      <c r="B8" s="11">
        <v>200</v>
      </c>
      <c r="C8" s="11" t="s">
        <v>2</v>
      </c>
      <c r="D8" s="12" t="s">
        <v>6</v>
      </c>
      <c r="E8" s="16" t="s">
        <v>150</v>
      </c>
      <c r="F8" s="17">
        <v>20</v>
      </c>
      <c r="G8" s="17" t="s">
        <v>2</v>
      </c>
      <c r="H8" s="17" t="s">
        <v>151</v>
      </c>
      <c r="I8" s="22" t="s">
        <v>182</v>
      </c>
      <c r="J8" s="23">
        <v>15</v>
      </c>
      <c r="K8" s="23" t="s">
        <v>89</v>
      </c>
      <c r="L8" s="24" t="s">
        <v>2</v>
      </c>
    </row>
    <row r="9" spans="1:18" x14ac:dyDescent="0.4">
      <c r="A9" s="10" t="s">
        <v>104</v>
      </c>
      <c r="B9" s="11">
        <v>175</v>
      </c>
      <c r="C9" s="11" t="s">
        <v>2</v>
      </c>
      <c r="D9" s="12" t="s">
        <v>105</v>
      </c>
      <c r="E9" s="16" t="s">
        <v>152</v>
      </c>
      <c r="F9" s="17">
        <v>75</v>
      </c>
      <c r="G9" s="17" t="s">
        <v>69</v>
      </c>
      <c r="H9" s="17" t="s">
        <v>2</v>
      </c>
      <c r="I9" s="22" t="s">
        <v>176</v>
      </c>
      <c r="J9" s="23">
        <v>225</v>
      </c>
      <c r="K9" s="23" t="s">
        <v>89</v>
      </c>
      <c r="L9" s="24" t="s">
        <v>32</v>
      </c>
    </row>
    <row r="10" spans="1:18" x14ac:dyDescent="0.4">
      <c r="A10" s="10" t="s">
        <v>85</v>
      </c>
      <c r="B10" s="11">
        <v>60</v>
      </c>
      <c r="C10" s="11" t="s">
        <v>2</v>
      </c>
      <c r="D10" s="12" t="s">
        <v>16</v>
      </c>
      <c r="E10" s="16" t="s">
        <v>153</v>
      </c>
      <c r="F10" s="17">
        <v>1500</v>
      </c>
      <c r="G10" s="17" t="s">
        <v>69</v>
      </c>
      <c r="H10" s="17" t="s">
        <v>2</v>
      </c>
      <c r="I10" s="144" t="s">
        <v>192</v>
      </c>
      <c r="J10" s="145"/>
      <c r="K10" s="145"/>
      <c r="L10" s="148"/>
    </row>
    <row r="11" spans="1:18" x14ac:dyDescent="0.4">
      <c r="A11" s="10" t="s">
        <v>134</v>
      </c>
      <c r="B11" s="11">
        <v>20</v>
      </c>
      <c r="C11" s="11" t="s">
        <v>2</v>
      </c>
      <c r="D11" s="12" t="s">
        <v>14</v>
      </c>
      <c r="E11" s="139" t="s">
        <v>155</v>
      </c>
      <c r="F11" s="140"/>
      <c r="G11" s="140"/>
      <c r="H11" s="140"/>
      <c r="I11" s="22" t="s">
        <v>181</v>
      </c>
      <c r="J11" s="23">
        <v>579</v>
      </c>
      <c r="K11" s="23" t="s">
        <v>89</v>
      </c>
      <c r="L11" s="24" t="s">
        <v>2</v>
      </c>
    </row>
    <row r="12" spans="1:18" x14ac:dyDescent="0.4">
      <c r="A12" s="10" t="s">
        <v>135</v>
      </c>
      <c r="B12" s="11">
        <v>765</v>
      </c>
      <c r="C12" s="11" t="s">
        <v>2</v>
      </c>
      <c r="D12" s="12" t="s">
        <v>12</v>
      </c>
      <c r="E12" s="30" t="s">
        <v>154</v>
      </c>
      <c r="F12" s="17">
        <v>100</v>
      </c>
      <c r="G12" s="17" t="s">
        <v>32</v>
      </c>
      <c r="H12" s="17" t="s">
        <v>156</v>
      </c>
      <c r="I12" s="22" t="s">
        <v>173</v>
      </c>
      <c r="J12" s="23">
        <v>25</v>
      </c>
      <c r="K12" s="23" t="s">
        <v>89</v>
      </c>
      <c r="L12" s="24" t="s">
        <v>12</v>
      </c>
    </row>
    <row r="13" spans="1:18" x14ac:dyDescent="0.4">
      <c r="A13" s="111" t="s">
        <v>106</v>
      </c>
      <c r="B13" s="112"/>
      <c r="C13" s="112"/>
      <c r="D13" s="113"/>
      <c r="E13" s="16" t="s">
        <v>147</v>
      </c>
      <c r="F13" s="17">
        <v>75</v>
      </c>
      <c r="G13" s="17" t="s">
        <v>32</v>
      </c>
      <c r="H13" s="17" t="s">
        <v>77</v>
      </c>
      <c r="I13" s="22" t="s">
        <v>180</v>
      </c>
      <c r="J13" s="23">
        <v>397</v>
      </c>
      <c r="K13" s="23" t="s">
        <v>178</v>
      </c>
      <c r="L13" s="24" t="s">
        <v>2</v>
      </c>
    </row>
    <row r="14" spans="1:18" x14ac:dyDescent="0.4">
      <c r="A14" s="10" t="s">
        <v>107</v>
      </c>
      <c r="B14" s="11">
        <v>100</v>
      </c>
      <c r="C14" s="11" t="s">
        <v>89</v>
      </c>
      <c r="D14" s="12" t="s">
        <v>32</v>
      </c>
      <c r="E14" s="139" t="s">
        <v>158</v>
      </c>
      <c r="F14" s="140"/>
      <c r="G14" s="140"/>
      <c r="H14" s="140"/>
      <c r="I14" s="22" t="s">
        <v>179</v>
      </c>
      <c r="J14" s="23">
        <v>1500</v>
      </c>
      <c r="K14" s="23" t="s">
        <v>178</v>
      </c>
      <c r="L14" s="24" t="s">
        <v>18</v>
      </c>
    </row>
    <row r="15" spans="1:18" x14ac:dyDescent="0.4">
      <c r="A15" s="111" t="s">
        <v>108</v>
      </c>
      <c r="B15" s="112"/>
      <c r="C15" s="112"/>
      <c r="D15" s="113"/>
      <c r="E15" s="16" t="s">
        <v>159</v>
      </c>
      <c r="F15" s="17">
        <v>730</v>
      </c>
      <c r="G15" s="17" t="s">
        <v>32</v>
      </c>
      <c r="H15" s="17" t="s">
        <v>2</v>
      </c>
      <c r="I15" s="144" t="s">
        <v>193</v>
      </c>
      <c r="J15" s="145"/>
      <c r="K15" s="145"/>
      <c r="L15" s="148"/>
    </row>
    <row r="16" spans="1:18" x14ac:dyDescent="0.4">
      <c r="A16" s="10" t="s">
        <v>109</v>
      </c>
      <c r="B16" s="11">
        <v>25</v>
      </c>
      <c r="C16" s="11" t="s">
        <v>6</v>
      </c>
      <c r="D16" s="12" t="s">
        <v>12</v>
      </c>
      <c r="E16" s="16" t="s">
        <v>148</v>
      </c>
      <c r="F16" s="17">
        <v>125</v>
      </c>
      <c r="G16" s="17" t="s">
        <v>32</v>
      </c>
      <c r="H16" s="17" t="s">
        <v>77</v>
      </c>
      <c r="I16" s="22" t="s">
        <v>182</v>
      </c>
      <c r="J16" s="23">
        <v>76</v>
      </c>
      <c r="K16" s="23" t="s">
        <v>89</v>
      </c>
      <c r="L16" s="24" t="s">
        <v>2</v>
      </c>
    </row>
    <row r="17" spans="1:12" x14ac:dyDescent="0.4">
      <c r="A17" s="10" t="s">
        <v>110</v>
      </c>
      <c r="B17" s="11">
        <v>50</v>
      </c>
      <c r="C17" s="11" t="s">
        <v>6</v>
      </c>
      <c r="D17" s="12" t="s">
        <v>2</v>
      </c>
      <c r="E17" s="16" t="s">
        <v>85</v>
      </c>
      <c r="F17" s="17">
        <v>20</v>
      </c>
      <c r="G17" s="17" t="s">
        <v>32</v>
      </c>
      <c r="H17" s="17" t="s">
        <v>16</v>
      </c>
      <c r="I17" s="22" t="s">
        <v>176</v>
      </c>
      <c r="J17" s="23">
        <v>250</v>
      </c>
      <c r="K17" s="23" t="s">
        <v>89</v>
      </c>
      <c r="L17" s="24" t="s">
        <v>32</v>
      </c>
    </row>
    <row r="18" spans="1:12" x14ac:dyDescent="0.4">
      <c r="A18" s="10" t="s">
        <v>111</v>
      </c>
      <c r="B18" s="11">
        <v>98</v>
      </c>
      <c r="C18" s="11" t="s">
        <v>6</v>
      </c>
      <c r="D18" s="12" t="s">
        <v>2</v>
      </c>
      <c r="E18" s="16" t="s">
        <v>160</v>
      </c>
      <c r="F18" s="17">
        <v>20</v>
      </c>
      <c r="G18" s="17" t="s">
        <v>32</v>
      </c>
      <c r="H18" s="17" t="s">
        <v>14</v>
      </c>
      <c r="I18" s="144" t="s">
        <v>194</v>
      </c>
      <c r="J18" s="145"/>
      <c r="K18" s="145"/>
      <c r="L18" s="148"/>
    </row>
    <row r="19" spans="1:12" x14ac:dyDescent="0.4">
      <c r="A19" s="111" t="s">
        <v>113</v>
      </c>
      <c r="B19" s="112"/>
      <c r="C19" s="112"/>
      <c r="D19" s="113"/>
      <c r="E19" s="16" t="s">
        <v>161</v>
      </c>
      <c r="F19" s="17">
        <v>500</v>
      </c>
      <c r="G19" s="17" t="s">
        <v>32</v>
      </c>
      <c r="H19" s="17" t="s">
        <v>18</v>
      </c>
      <c r="I19" s="22" t="s">
        <v>175</v>
      </c>
      <c r="J19" s="23">
        <f>1793+125</f>
        <v>1918</v>
      </c>
      <c r="K19" s="23" t="s">
        <v>89</v>
      </c>
      <c r="L19" s="24" t="s">
        <v>2</v>
      </c>
    </row>
    <row r="20" spans="1:12" x14ac:dyDescent="0.4">
      <c r="A20" s="10" t="s">
        <v>4</v>
      </c>
      <c r="B20" s="11">
        <v>239</v>
      </c>
      <c r="C20" s="11" t="s">
        <v>82</v>
      </c>
      <c r="D20" s="12" t="s">
        <v>2</v>
      </c>
      <c r="E20" s="139" t="s">
        <v>163</v>
      </c>
      <c r="F20" s="140"/>
      <c r="G20" s="140"/>
      <c r="H20" s="140"/>
      <c r="I20" s="22" t="s">
        <v>183</v>
      </c>
      <c r="J20" s="23">
        <v>50</v>
      </c>
      <c r="K20" s="23" t="s">
        <v>89</v>
      </c>
      <c r="L20" s="24" t="s">
        <v>105</v>
      </c>
    </row>
    <row r="21" spans="1:12" x14ac:dyDescent="0.4">
      <c r="A21" s="10" t="s">
        <v>85</v>
      </c>
      <c r="B21" s="11">
        <v>20</v>
      </c>
      <c r="C21" s="11" t="s">
        <v>82</v>
      </c>
      <c r="D21" s="12" t="s">
        <v>16</v>
      </c>
      <c r="E21" s="30" t="s">
        <v>162</v>
      </c>
      <c r="F21" s="31">
        <v>1000</v>
      </c>
      <c r="G21" s="32" t="s">
        <v>32</v>
      </c>
      <c r="H21" s="32" t="s">
        <v>2</v>
      </c>
      <c r="I21" s="22" t="s">
        <v>188</v>
      </c>
      <c r="J21" s="23">
        <v>100</v>
      </c>
      <c r="K21" s="23" t="s">
        <v>89</v>
      </c>
      <c r="L21" s="24" t="s">
        <v>12</v>
      </c>
    </row>
    <row r="22" spans="1:12" x14ac:dyDescent="0.4">
      <c r="A22" s="10" t="s">
        <v>25</v>
      </c>
      <c r="B22" s="11">
        <v>125</v>
      </c>
      <c r="C22" s="11" t="s">
        <v>82</v>
      </c>
      <c r="D22" s="12" t="s">
        <v>26</v>
      </c>
      <c r="E22" s="16" t="s">
        <v>154</v>
      </c>
      <c r="F22" s="17">
        <v>125</v>
      </c>
      <c r="G22" s="17" t="s">
        <v>32</v>
      </c>
      <c r="H22" s="17" t="s">
        <v>156</v>
      </c>
      <c r="I22" s="22" t="s">
        <v>184</v>
      </c>
      <c r="J22" s="23">
        <v>50</v>
      </c>
      <c r="K22" s="23" t="s">
        <v>185</v>
      </c>
      <c r="L22" s="24" t="s">
        <v>2</v>
      </c>
    </row>
    <row r="23" spans="1:12" x14ac:dyDescent="0.4">
      <c r="A23" s="10" t="s">
        <v>103</v>
      </c>
      <c r="B23" s="11">
        <v>50</v>
      </c>
      <c r="C23" s="11" t="s">
        <v>82</v>
      </c>
      <c r="D23" s="12" t="s">
        <v>6</v>
      </c>
      <c r="E23" s="16" t="s">
        <v>157</v>
      </c>
      <c r="F23" s="17">
        <v>400</v>
      </c>
      <c r="G23" s="17" t="s">
        <v>32</v>
      </c>
      <c r="H23" s="17" t="s">
        <v>77</v>
      </c>
      <c r="I23" s="144" t="s">
        <v>186</v>
      </c>
      <c r="J23" s="145"/>
      <c r="K23" s="145"/>
      <c r="L23" s="148"/>
    </row>
    <row r="24" spans="1:12" x14ac:dyDescent="0.4">
      <c r="A24" s="10" t="s">
        <v>112</v>
      </c>
      <c r="B24" s="11">
        <v>40</v>
      </c>
      <c r="C24" s="11" t="s">
        <v>82</v>
      </c>
      <c r="D24" s="12" t="s">
        <v>12</v>
      </c>
      <c r="E24" s="16" t="s">
        <v>160</v>
      </c>
      <c r="F24" s="17">
        <v>40</v>
      </c>
      <c r="G24" s="17" t="s">
        <v>32</v>
      </c>
      <c r="H24" s="17" t="s">
        <v>14</v>
      </c>
      <c r="I24" s="22" t="s">
        <v>189</v>
      </c>
      <c r="J24" s="23">
        <v>1500</v>
      </c>
      <c r="K24" s="23" t="s">
        <v>187</v>
      </c>
      <c r="L24" s="24" t="s">
        <v>18</v>
      </c>
    </row>
    <row r="25" spans="1:12" x14ac:dyDescent="0.4">
      <c r="A25" s="10" t="s">
        <v>101</v>
      </c>
      <c r="B25" s="11">
        <v>50</v>
      </c>
      <c r="C25" s="11" t="s">
        <v>82</v>
      </c>
      <c r="D25" s="12" t="s">
        <v>28</v>
      </c>
      <c r="E25" s="139" t="s">
        <v>164</v>
      </c>
      <c r="F25" s="140"/>
      <c r="G25" s="140"/>
      <c r="H25" s="140"/>
      <c r="I25" s="22" t="s">
        <v>190</v>
      </c>
      <c r="J25" s="23">
        <v>50</v>
      </c>
      <c r="K25" s="23" t="s">
        <v>187</v>
      </c>
      <c r="L25" s="24" t="s">
        <v>12</v>
      </c>
    </row>
    <row r="26" spans="1:12" x14ac:dyDescent="0.4">
      <c r="A26" s="111" t="s">
        <v>114</v>
      </c>
      <c r="B26" s="112"/>
      <c r="C26" s="112"/>
      <c r="D26" s="113"/>
      <c r="E26" s="16" t="s">
        <v>165</v>
      </c>
      <c r="F26" s="17">
        <v>715</v>
      </c>
      <c r="G26" s="17" t="s">
        <v>164</v>
      </c>
      <c r="H26" s="17" t="s">
        <v>2</v>
      </c>
      <c r="I26" s="144" t="s">
        <v>195</v>
      </c>
      <c r="J26" s="145"/>
      <c r="K26" s="145"/>
      <c r="L26" s="148"/>
    </row>
    <row r="27" spans="1:12" x14ac:dyDescent="0.4">
      <c r="A27" s="10" t="s">
        <v>117</v>
      </c>
      <c r="B27" s="11">
        <v>125</v>
      </c>
      <c r="C27" s="11" t="s">
        <v>115</v>
      </c>
      <c r="D27" s="12" t="s">
        <v>2</v>
      </c>
      <c r="E27" s="16" t="s">
        <v>166</v>
      </c>
      <c r="F27" s="17">
        <v>100</v>
      </c>
      <c r="G27" s="17" t="s">
        <v>164</v>
      </c>
      <c r="H27" s="17" t="s">
        <v>2</v>
      </c>
      <c r="I27" s="22" t="s">
        <v>175</v>
      </c>
      <c r="J27" s="23">
        <v>606</v>
      </c>
      <c r="K27" s="23" t="s">
        <v>191</v>
      </c>
      <c r="L27" s="24" t="s">
        <v>2</v>
      </c>
    </row>
    <row r="28" spans="1:12" x14ac:dyDescent="0.4">
      <c r="A28" s="10" t="s">
        <v>116</v>
      </c>
      <c r="B28" s="11">
        <v>40</v>
      </c>
      <c r="C28" s="11" t="s">
        <v>115</v>
      </c>
      <c r="D28" s="12" t="s">
        <v>12</v>
      </c>
      <c r="E28" s="16" t="s">
        <v>167</v>
      </c>
      <c r="F28" s="17">
        <v>500</v>
      </c>
      <c r="G28" s="17" t="s">
        <v>164</v>
      </c>
      <c r="H28" s="17" t="s">
        <v>18</v>
      </c>
      <c r="I28" s="22" t="s">
        <v>196</v>
      </c>
      <c r="J28" s="23">
        <v>150</v>
      </c>
      <c r="K28" s="23" t="s">
        <v>197</v>
      </c>
      <c r="L28" s="24" t="s">
        <v>2</v>
      </c>
    </row>
    <row r="29" spans="1:12" x14ac:dyDescent="0.4">
      <c r="A29" s="10" t="s">
        <v>118</v>
      </c>
      <c r="B29" s="11">
        <v>20</v>
      </c>
      <c r="C29" s="11" t="s">
        <v>115</v>
      </c>
      <c r="D29" s="12" t="s">
        <v>16</v>
      </c>
      <c r="E29" s="16"/>
      <c r="F29" s="17"/>
      <c r="G29" s="17"/>
      <c r="H29" s="17"/>
      <c r="I29" s="144" t="s">
        <v>199</v>
      </c>
      <c r="J29" s="145"/>
      <c r="K29" s="145"/>
      <c r="L29" s="148"/>
    </row>
    <row r="30" spans="1:12" ht="27" thickBot="1" x14ac:dyDescent="0.45">
      <c r="A30" s="111" t="s">
        <v>119</v>
      </c>
      <c r="B30" s="112"/>
      <c r="C30" s="112"/>
      <c r="D30" s="113"/>
      <c r="E30" s="19" t="s">
        <v>145</v>
      </c>
      <c r="F30" s="20">
        <f>SUM(F5:F29)</f>
        <v>6757</v>
      </c>
      <c r="G30" s="20"/>
      <c r="H30" s="20"/>
      <c r="I30" s="22" t="s">
        <v>175</v>
      </c>
      <c r="J30" s="23">
        <f>540+1701</f>
        <v>2241</v>
      </c>
      <c r="K30" s="23" t="s">
        <v>198</v>
      </c>
      <c r="L30" s="24" t="s">
        <v>2</v>
      </c>
    </row>
    <row r="31" spans="1:12" x14ac:dyDescent="0.4">
      <c r="A31" s="10" t="s">
        <v>120</v>
      </c>
      <c r="B31" s="11">
        <v>299</v>
      </c>
      <c r="C31" s="11" t="s">
        <v>89</v>
      </c>
      <c r="D31" s="12" t="s">
        <v>32</v>
      </c>
      <c r="I31" s="22" t="s">
        <v>200</v>
      </c>
      <c r="J31" s="23">
        <v>208</v>
      </c>
      <c r="K31" s="23" t="s">
        <v>201</v>
      </c>
      <c r="L31" s="24" t="s">
        <v>2</v>
      </c>
    </row>
    <row r="32" spans="1:12" x14ac:dyDescent="0.4">
      <c r="A32" s="10" t="s">
        <v>121</v>
      </c>
      <c r="B32" s="11">
        <v>20</v>
      </c>
      <c r="C32" s="11" t="s">
        <v>6</v>
      </c>
      <c r="D32" s="12" t="s">
        <v>14</v>
      </c>
      <c r="E32" s="1" t="s">
        <v>204</v>
      </c>
      <c r="F32" s="1">
        <f>B58+F30+J39</f>
        <v>34247</v>
      </c>
      <c r="I32" s="22" t="s">
        <v>202</v>
      </c>
      <c r="J32" s="23">
        <v>1500</v>
      </c>
      <c r="K32" s="23" t="s">
        <v>198</v>
      </c>
      <c r="L32" s="24" t="s">
        <v>18</v>
      </c>
    </row>
    <row r="33" spans="1:12" x14ac:dyDescent="0.4">
      <c r="A33" s="10" t="s">
        <v>122</v>
      </c>
      <c r="B33" s="11">
        <v>2000</v>
      </c>
      <c r="C33" s="11" t="s">
        <v>6</v>
      </c>
      <c r="D33" s="12" t="s">
        <v>123</v>
      </c>
      <c r="I33" s="144" t="s">
        <v>203</v>
      </c>
      <c r="J33" s="145"/>
      <c r="K33" s="145"/>
      <c r="L33" s="148"/>
    </row>
    <row r="34" spans="1:12" x14ac:dyDescent="0.4">
      <c r="A34" s="10" t="s">
        <v>126</v>
      </c>
      <c r="B34" s="11">
        <v>1000</v>
      </c>
      <c r="C34" s="11" t="s">
        <v>125</v>
      </c>
      <c r="D34" s="12" t="s">
        <v>2</v>
      </c>
      <c r="I34" s="22" t="s">
        <v>175</v>
      </c>
      <c r="J34" s="23">
        <f>150+542</f>
        <v>692</v>
      </c>
      <c r="K34" s="23" t="s">
        <v>201</v>
      </c>
      <c r="L34" s="24" t="s">
        <v>2</v>
      </c>
    </row>
    <row r="35" spans="1:12" x14ac:dyDescent="0.4">
      <c r="A35" s="10" t="s">
        <v>124</v>
      </c>
      <c r="B35" s="11">
        <v>50</v>
      </c>
      <c r="C35" s="11" t="s">
        <v>125</v>
      </c>
      <c r="D35" s="12" t="s">
        <v>2</v>
      </c>
      <c r="I35" s="144" t="s">
        <v>363</v>
      </c>
      <c r="J35" s="145"/>
      <c r="K35" s="145"/>
      <c r="L35" s="148"/>
    </row>
    <row r="36" spans="1:12" x14ac:dyDescent="0.4">
      <c r="A36" s="10" t="s">
        <v>127</v>
      </c>
      <c r="B36" s="11">
        <v>20</v>
      </c>
      <c r="C36" s="11" t="s">
        <v>125</v>
      </c>
      <c r="D36" s="12" t="s">
        <v>2</v>
      </c>
      <c r="I36" s="22" t="s">
        <v>364</v>
      </c>
      <c r="J36" s="23">
        <v>1114</v>
      </c>
      <c r="K36" s="23" t="s">
        <v>89</v>
      </c>
      <c r="L36" s="24" t="s">
        <v>2</v>
      </c>
    </row>
    <row r="37" spans="1:12" x14ac:dyDescent="0.4">
      <c r="A37" s="111" t="s">
        <v>139</v>
      </c>
      <c r="B37" s="112"/>
      <c r="C37" s="112"/>
      <c r="D37" s="113"/>
      <c r="I37" s="22" t="s">
        <v>365</v>
      </c>
      <c r="J37" s="23">
        <v>1034</v>
      </c>
      <c r="K37" s="23" t="s">
        <v>89</v>
      </c>
      <c r="L37" s="24" t="s">
        <v>2</v>
      </c>
    </row>
    <row r="38" spans="1:12" x14ac:dyDescent="0.4">
      <c r="A38" s="10" t="s">
        <v>37</v>
      </c>
      <c r="B38" s="11">
        <v>525</v>
      </c>
      <c r="C38" s="11" t="s">
        <v>6</v>
      </c>
      <c r="D38" s="12" t="s">
        <v>2</v>
      </c>
      <c r="I38" s="22"/>
      <c r="J38" s="23"/>
      <c r="K38" s="23"/>
      <c r="L38" s="24"/>
    </row>
    <row r="39" spans="1:12" ht="27" thickBot="1" x14ac:dyDescent="0.45">
      <c r="A39" s="10" t="s">
        <v>128</v>
      </c>
      <c r="B39" s="11">
        <v>25</v>
      </c>
      <c r="C39" s="11" t="s">
        <v>6</v>
      </c>
      <c r="D39" s="12" t="s">
        <v>12</v>
      </c>
      <c r="I39" s="25" t="s">
        <v>171</v>
      </c>
      <c r="J39" s="26">
        <f>SUM(J5:J37)</f>
        <v>14645</v>
      </c>
      <c r="K39" s="26"/>
      <c r="L39" s="27"/>
    </row>
    <row r="40" spans="1:12" x14ac:dyDescent="0.4">
      <c r="A40" s="111" t="s">
        <v>138</v>
      </c>
      <c r="B40" s="112"/>
      <c r="C40" s="112"/>
      <c r="D40" s="113"/>
    </row>
    <row r="41" spans="1:12" x14ac:dyDescent="0.4">
      <c r="A41" s="10" t="s">
        <v>130</v>
      </c>
      <c r="B41" s="11">
        <v>50</v>
      </c>
      <c r="C41" s="11" t="s">
        <v>125</v>
      </c>
      <c r="D41" s="12" t="s">
        <v>2</v>
      </c>
    </row>
    <row r="42" spans="1:12" x14ac:dyDescent="0.4">
      <c r="A42" s="10" t="s">
        <v>129</v>
      </c>
      <c r="B42" s="11">
        <v>20</v>
      </c>
      <c r="C42" s="11" t="s">
        <v>125</v>
      </c>
      <c r="D42" s="12" t="s">
        <v>16</v>
      </c>
    </row>
    <row r="43" spans="1:12" x14ac:dyDescent="0.4">
      <c r="A43" s="10" t="s">
        <v>132</v>
      </c>
      <c r="B43" s="11">
        <v>493</v>
      </c>
      <c r="C43" s="11" t="s">
        <v>131</v>
      </c>
      <c r="D43" s="12" t="s">
        <v>2</v>
      </c>
    </row>
    <row r="44" spans="1:12" x14ac:dyDescent="0.4">
      <c r="A44" s="10" t="s">
        <v>133</v>
      </c>
      <c r="B44" s="11">
        <v>20</v>
      </c>
      <c r="C44" s="11" t="s">
        <v>131</v>
      </c>
      <c r="D44" s="12" t="s">
        <v>16</v>
      </c>
    </row>
    <row r="45" spans="1:12" x14ac:dyDescent="0.4">
      <c r="A45" s="111" t="s">
        <v>136</v>
      </c>
      <c r="B45" s="112"/>
      <c r="C45" s="112"/>
      <c r="D45" s="113"/>
    </row>
    <row r="46" spans="1:12" x14ac:dyDescent="0.4">
      <c r="A46" s="10" t="s">
        <v>140</v>
      </c>
      <c r="B46" s="11">
        <v>1439</v>
      </c>
      <c r="C46" s="11" t="s">
        <v>137</v>
      </c>
      <c r="D46" s="12" t="s">
        <v>2</v>
      </c>
    </row>
    <row r="47" spans="1:12" x14ac:dyDescent="0.4">
      <c r="A47" s="10" t="s">
        <v>141</v>
      </c>
      <c r="B47" s="11">
        <v>200</v>
      </c>
      <c r="C47" s="11" t="s">
        <v>137</v>
      </c>
      <c r="D47" s="12" t="s">
        <v>12</v>
      </c>
    </row>
    <row r="48" spans="1:12" x14ac:dyDescent="0.4">
      <c r="A48" s="10" t="s">
        <v>84</v>
      </c>
      <c r="B48" s="11">
        <v>40</v>
      </c>
      <c r="C48" s="11" t="s">
        <v>137</v>
      </c>
      <c r="D48" s="12" t="s">
        <v>14</v>
      </c>
    </row>
    <row r="49" spans="1:4" x14ac:dyDescent="0.4">
      <c r="A49" s="10" t="s">
        <v>129</v>
      </c>
      <c r="B49" s="11">
        <v>20</v>
      </c>
      <c r="C49" s="11" t="s">
        <v>137</v>
      </c>
      <c r="D49" s="12" t="s">
        <v>16</v>
      </c>
    </row>
    <row r="50" spans="1:4" x14ac:dyDescent="0.4">
      <c r="A50" s="10" t="s">
        <v>142</v>
      </c>
      <c r="B50" s="11">
        <v>275</v>
      </c>
      <c r="C50" s="11" t="s">
        <v>143</v>
      </c>
      <c r="D50" s="12" t="s">
        <v>32</v>
      </c>
    </row>
    <row r="51" spans="1:4" x14ac:dyDescent="0.4">
      <c r="A51" s="10" t="s">
        <v>144</v>
      </c>
      <c r="B51" s="11">
        <v>60</v>
      </c>
      <c r="C51" s="11"/>
      <c r="D51" s="12"/>
    </row>
    <row r="52" spans="1:4" x14ac:dyDescent="0.4">
      <c r="A52" s="111" t="s">
        <v>168</v>
      </c>
      <c r="B52" s="112"/>
      <c r="C52" s="112"/>
      <c r="D52" s="113"/>
    </row>
    <row r="53" spans="1:4" x14ac:dyDescent="0.4">
      <c r="A53" s="10" t="s">
        <v>169</v>
      </c>
      <c r="B53" s="11">
        <v>100</v>
      </c>
      <c r="C53" s="11" t="s">
        <v>369</v>
      </c>
      <c r="D53" s="12" t="s">
        <v>12</v>
      </c>
    </row>
    <row r="54" spans="1:4" x14ac:dyDescent="0.4">
      <c r="A54" s="111" t="s">
        <v>360</v>
      </c>
      <c r="B54" s="112"/>
      <c r="C54" s="112"/>
      <c r="D54" s="113"/>
    </row>
    <row r="55" spans="1:4" x14ac:dyDescent="0.4">
      <c r="A55" s="10" t="s">
        <v>361</v>
      </c>
      <c r="B55" s="11">
        <v>755</v>
      </c>
      <c r="C55" s="11" t="s">
        <v>137</v>
      </c>
      <c r="D55" s="12" t="s">
        <v>2</v>
      </c>
    </row>
    <row r="56" spans="1:4" x14ac:dyDescent="0.4">
      <c r="A56" s="10" t="s">
        <v>362</v>
      </c>
      <c r="B56" s="11">
        <v>1410</v>
      </c>
      <c r="C56" s="11" t="s">
        <v>137</v>
      </c>
      <c r="D56" s="12" t="s">
        <v>2</v>
      </c>
    </row>
    <row r="57" spans="1:4" x14ac:dyDescent="0.4">
      <c r="A57" s="10"/>
      <c r="B57" s="11"/>
      <c r="C57" s="11"/>
      <c r="D57" s="12"/>
    </row>
    <row r="58" spans="1:4" ht="27" thickBot="1" x14ac:dyDescent="0.45">
      <c r="A58" s="13" t="s">
        <v>99</v>
      </c>
      <c r="B58" s="14">
        <f>SUM(B5:B56)</f>
        <v>12845</v>
      </c>
      <c r="C58" s="14"/>
      <c r="D58" s="15"/>
    </row>
    <row r="60" spans="1:4" x14ac:dyDescent="0.4">
      <c r="C60" s="3"/>
      <c r="D60" s="3"/>
    </row>
    <row r="64" spans="1:4" x14ac:dyDescent="0.4">
      <c r="A64" s="146"/>
      <c r="B64" s="146"/>
      <c r="C64" s="146"/>
      <c r="D64" s="146"/>
    </row>
    <row r="67" spans="1:4" x14ac:dyDescent="0.4">
      <c r="A67" s="146"/>
      <c r="B67" s="146"/>
      <c r="C67" s="146"/>
      <c r="D67" s="146"/>
    </row>
    <row r="70" spans="1:4" x14ac:dyDescent="0.4">
      <c r="A70" s="146"/>
      <c r="B70" s="146"/>
      <c r="C70" s="146"/>
      <c r="D70" s="146"/>
    </row>
  </sheetData>
  <mergeCells count="33">
    <mergeCell ref="E11:H11"/>
    <mergeCell ref="E14:H14"/>
    <mergeCell ref="A52:D52"/>
    <mergeCell ref="I7:L7"/>
    <mergeCell ref="I10:L10"/>
    <mergeCell ref="I15:L15"/>
    <mergeCell ref="I18:L18"/>
    <mergeCell ref="I23:L23"/>
    <mergeCell ref="I26:L26"/>
    <mergeCell ref="I29:L29"/>
    <mergeCell ref="I33:L33"/>
    <mergeCell ref="E25:H25"/>
    <mergeCell ref="I35:L35"/>
    <mergeCell ref="A1:L1"/>
    <mergeCell ref="A2:D2"/>
    <mergeCell ref="E2:H2"/>
    <mergeCell ref="I2:L2"/>
    <mergeCell ref="A4:D4"/>
    <mergeCell ref="E4:H4"/>
    <mergeCell ref="I4:L4"/>
    <mergeCell ref="A64:D64"/>
    <mergeCell ref="E20:H20"/>
    <mergeCell ref="A67:D67"/>
    <mergeCell ref="A70:D70"/>
    <mergeCell ref="A13:D13"/>
    <mergeCell ref="A15:D15"/>
    <mergeCell ref="A19:D19"/>
    <mergeCell ref="A26:D26"/>
    <mergeCell ref="A30:D30"/>
    <mergeCell ref="A37:D37"/>
    <mergeCell ref="A40:D40"/>
    <mergeCell ref="A45:D45"/>
    <mergeCell ref="A54:D54"/>
  </mergeCell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6D10D-312D-4975-8AA5-D9F46C29C7F8}">
  <dimension ref="A1:R94"/>
  <sheetViews>
    <sheetView topLeftCell="A7" zoomScale="70" zoomScaleNormal="70" workbookViewId="0">
      <selection activeCell="C39" sqref="C39"/>
    </sheetView>
  </sheetViews>
  <sheetFormatPr defaultRowHeight="26.25" x14ac:dyDescent="0.4"/>
  <cols>
    <col min="1" max="1" width="133.5703125" style="1" bestFit="1" customWidth="1"/>
    <col min="2" max="2" width="14.85546875" style="1" bestFit="1" customWidth="1"/>
    <col min="3" max="3" width="88.5703125" style="1" bestFit="1" customWidth="1"/>
    <col min="4" max="4" width="58.7109375" style="1" bestFit="1" customWidth="1"/>
    <col min="5" max="5" width="96.7109375" style="1" bestFit="1" customWidth="1"/>
    <col min="6" max="6" width="14.85546875" style="1" bestFit="1" customWidth="1"/>
    <col min="7" max="7" width="22.140625" style="1" bestFit="1" customWidth="1"/>
    <col min="8" max="8" width="53.85546875" style="1" bestFit="1" customWidth="1"/>
    <col min="9" max="9" width="119.140625" style="1" bestFit="1" customWidth="1"/>
    <col min="10" max="10" width="14.85546875" style="1" bestFit="1" customWidth="1"/>
    <col min="11" max="11" width="47.42578125" style="1" bestFit="1" customWidth="1"/>
    <col min="12" max="12" width="58.7109375" style="1" bestFit="1" customWidth="1"/>
    <col min="13" max="16384" width="9.140625" style="1"/>
  </cols>
  <sheetData>
    <row r="1" spans="1:18" ht="27" thickBot="1" x14ac:dyDescent="0.45">
      <c r="A1" s="149" t="str">
        <f>"Icy Wilderness (total " &amp; F16 &amp; ")"</f>
        <v>Icy Wilderness (total 33988)</v>
      </c>
      <c r="B1" s="150"/>
      <c r="C1" s="150"/>
      <c r="D1" s="150"/>
      <c r="E1" s="150"/>
      <c r="F1" s="150"/>
      <c r="G1" s="150"/>
      <c r="H1" s="150"/>
      <c r="I1" s="150"/>
      <c r="J1" s="150"/>
      <c r="K1" s="150"/>
      <c r="L1" s="151"/>
      <c r="N1" s="2"/>
      <c r="P1" s="2"/>
      <c r="R1" s="2"/>
    </row>
    <row r="2" spans="1:18" ht="27" thickBot="1" x14ac:dyDescent="0.45">
      <c r="A2" s="117" t="s">
        <v>207</v>
      </c>
      <c r="B2" s="118"/>
      <c r="C2" s="118"/>
      <c r="D2" s="119"/>
      <c r="E2" s="120" t="s">
        <v>228</v>
      </c>
      <c r="F2" s="121"/>
      <c r="G2" s="121"/>
      <c r="H2" s="122"/>
      <c r="I2" s="123" t="s">
        <v>240</v>
      </c>
      <c r="J2" s="124"/>
      <c r="K2" s="124"/>
      <c r="L2" s="125"/>
    </row>
    <row r="3" spans="1:18" ht="27" thickBot="1" x14ac:dyDescent="0.45">
      <c r="A3" s="36" t="s">
        <v>0</v>
      </c>
      <c r="B3" s="37" t="s">
        <v>1</v>
      </c>
      <c r="C3" s="37" t="s">
        <v>19</v>
      </c>
      <c r="D3" s="38" t="s">
        <v>20</v>
      </c>
      <c r="E3" s="52" t="s">
        <v>0</v>
      </c>
      <c r="F3" s="39" t="s">
        <v>1</v>
      </c>
      <c r="G3" s="39" t="s">
        <v>19</v>
      </c>
      <c r="H3" s="40" t="s">
        <v>20</v>
      </c>
      <c r="I3" s="41" t="s">
        <v>0</v>
      </c>
      <c r="J3" s="42" t="s">
        <v>1</v>
      </c>
      <c r="K3" s="42" t="s">
        <v>19</v>
      </c>
      <c r="L3" s="43" t="s">
        <v>20</v>
      </c>
    </row>
    <row r="4" spans="1:18" x14ac:dyDescent="0.4">
      <c r="A4" s="129" t="s">
        <v>64</v>
      </c>
      <c r="B4" s="156"/>
      <c r="C4" s="156"/>
      <c r="D4" s="157"/>
      <c r="E4" s="132" t="s">
        <v>229</v>
      </c>
      <c r="F4" s="133"/>
      <c r="G4" s="133"/>
      <c r="H4" s="133"/>
      <c r="I4" s="134" t="s">
        <v>64</v>
      </c>
      <c r="J4" s="135"/>
      <c r="K4" s="135"/>
      <c r="L4" s="152"/>
    </row>
    <row r="5" spans="1:18" x14ac:dyDescent="0.4">
      <c r="A5" s="10" t="s">
        <v>25</v>
      </c>
      <c r="B5" s="45">
        <v>25</v>
      </c>
      <c r="C5" s="46" t="s">
        <v>2</v>
      </c>
      <c r="D5" s="47" t="s">
        <v>26</v>
      </c>
      <c r="E5" s="30" t="s">
        <v>237</v>
      </c>
      <c r="F5" s="31">
        <v>1813</v>
      </c>
      <c r="G5" s="32" t="s">
        <v>2</v>
      </c>
      <c r="H5" s="32" t="s">
        <v>2</v>
      </c>
      <c r="I5" s="55" t="s">
        <v>175</v>
      </c>
      <c r="J5" s="58">
        <v>1073</v>
      </c>
      <c r="K5" s="59" t="s">
        <v>2</v>
      </c>
      <c r="L5" s="60" t="s">
        <v>2</v>
      </c>
    </row>
    <row r="6" spans="1:18" x14ac:dyDescent="0.4">
      <c r="A6" s="10" t="s">
        <v>103</v>
      </c>
      <c r="B6" s="45">
        <v>80</v>
      </c>
      <c r="C6" s="46" t="s">
        <v>2</v>
      </c>
      <c r="D6" s="47" t="s">
        <v>6</v>
      </c>
      <c r="E6" s="30" t="s">
        <v>230</v>
      </c>
      <c r="F6" s="31">
        <v>500</v>
      </c>
      <c r="G6" s="32" t="s">
        <v>2</v>
      </c>
      <c r="H6" s="32" t="s">
        <v>231</v>
      </c>
      <c r="I6" s="55" t="s">
        <v>241</v>
      </c>
      <c r="J6" s="58">
        <v>200</v>
      </c>
      <c r="K6" s="59" t="s">
        <v>2</v>
      </c>
      <c r="L6" s="60" t="s">
        <v>242</v>
      </c>
    </row>
    <row r="7" spans="1:18" x14ac:dyDescent="0.4">
      <c r="A7" s="111" t="s">
        <v>217</v>
      </c>
      <c r="B7" s="112"/>
      <c r="C7" s="112"/>
      <c r="D7" s="113"/>
      <c r="E7" s="30" t="s">
        <v>232</v>
      </c>
      <c r="F7" s="31">
        <v>500</v>
      </c>
      <c r="G7" s="32" t="s">
        <v>2</v>
      </c>
      <c r="H7" s="32" t="s">
        <v>231</v>
      </c>
      <c r="I7" s="55" t="s">
        <v>246</v>
      </c>
      <c r="J7" s="58">
        <v>180</v>
      </c>
      <c r="K7" s="59" t="s">
        <v>2</v>
      </c>
      <c r="L7" s="60" t="s">
        <v>12</v>
      </c>
    </row>
    <row r="8" spans="1:18" x14ac:dyDescent="0.4">
      <c r="A8" s="10" t="s">
        <v>175</v>
      </c>
      <c r="B8" s="45">
        <v>415</v>
      </c>
      <c r="C8" s="46" t="s">
        <v>49</v>
      </c>
      <c r="D8" s="47" t="s">
        <v>2</v>
      </c>
      <c r="E8" s="30" t="s">
        <v>233</v>
      </c>
      <c r="F8" s="31">
        <v>400</v>
      </c>
      <c r="G8" s="32" t="s">
        <v>2</v>
      </c>
      <c r="H8" s="32" t="s">
        <v>234</v>
      </c>
      <c r="I8" s="55" t="s">
        <v>243</v>
      </c>
      <c r="J8" s="58">
        <v>80</v>
      </c>
      <c r="K8" s="59" t="s">
        <v>2</v>
      </c>
      <c r="L8" s="60" t="s">
        <v>151</v>
      </c>
    </row>
    <row r="9" spans="1:18" x14ac:dyDescent="0.4">
      <c r="A9" s="10" t="s">
        <v>209</v>
      </c>
      <c r="B9" s="45">
        <v>130</v>
      </c>
      <c r="C9" s="46" t="s">
        <v>210</v>
      </c>
      <c r="D9" s="47" t="s">
        <v>2</v>
      </c>
      <c r="E9" s="30" t="s">
        <v>235</v>
      </c>
      <c r="F9" s="31">
        <v>200</v>
      </c>
      <c r="G9" s="32" t="s">
        <v>2</v>
      </c>
      <c r="H9" s="32" t="s">
        <v>236</v>
      </c>
      <c r="I9" s="55" t="s">
        <v>244</v>
      </c>
      <c r="J9" s="58">
        <v>75</v>
      </c>
      <c r="K9" s="59" t="s">
        <v>2</v>
      </c>
      <c r="L9" s="60" t="s">
        <v>220</v>
      </c>
    </row>
    <row r="10" spans="1:18" x14ac:dyDescent="0.4">
      <c r="A10" s="10" t="s">
        <v>216</v>
      </c>
      <c r="B10" s="45">
        <v>25</v>
      </c>
      <c r="C10" s="46" t="s">
        <v>6</v>
      </c>
      <c r="D10" s="47" t="s">
        <v>2</v>
      </c>
      <c r="E10" s="139" t="s">
        <v>363</v>
      </c>
      <c r="F10" s="140"/>
      <c r="G10" s="140"/>
      <c r="H10" s="140"/>
      <c r="I10" s="55" t="s">
        <v>85</v>
      </c>
      <c r="J10" s="58">
        <v>20</v>
      </c>
      <c r="K10" s="59" t="s">
        <v>2</v>
      </c>
      <c r="L10" s="60" t="s">
        <v>16</v>
      </c>
    </row>
    <row r="11" spans="1:18" x14ac:dyDescent="0.4">
      <c r="A11" s="111" t="s">
        <v>211</v>
      </c>
      <c r="B11" s="112"/>
      <c r="C11" s="112"/>
      <c r="D11" s="113"/>
      <c r="E11" s="30" t="s">
        <v>364</v>
      </c>
      <c r="F11" s="31">
        <v>1143</v>
      </c>
      <c r="G11" s="17" t="s">
        <v>2</v>
      </c>
      <c r="H11" s="17" t="s">
        <v>2</v>
      </c>
      <c r="I11" s="55" t="s">
        <v>247</v>
      </c>
      <c r="J11" s="58">
        <v>1525</v>
      </c>
      <c r="K11" s="59" t="s">
        <v>2</v>
      </c>
      <c r="L11" s="60" t="s">
        <v>18</v>
      </c>
    </row>
    <row r="12" spans="1:18" x14ac:dyDescent="0.4">
      <c r="A12" s="10" t="s">
        <v>212</v>
      </c>
      <c r="B12" s="45">
        <v>1006</v>
      </c>
      <c r="C12" s="46" t="s">
        <v>6</v>
      </c>
      <c r="D12" s="47" t="s">
        <v>2</v>
      </c>
      <c r="E12" s="30" t="s">
        <v>365</v>
      </c>
      <c r="F12" s="31">
        <v>1075</v>
      </c>
      <c r="G12" s="17" t="s">
        <v>2</v>
      </c>
      <c r="H12" s="17" t="s">
        <v>2</v>
      </c>
      <c r="I12" s="144" t="s">
        <v>248</v>
      </c>
      <c r="J12" s="145"/>
      <c r="K12" s="145"/>
      <c r="L12" s="148"/>
    </row>
    <row r="13" spans="1:18" x14ac:dyDescent="0.4">
      <c r="A13" s="10" t="s">
        <v>129</v>
      </c>
      <c r="B13" s="45">
        <v>100</v>
      </c>
      <c r="C13" s="46" t="s">
        <v>6</v>
      </c>
      <c r="D13" s="47" t="s">
        <v>16</v>
      </c>
      <c r="E13" s="16"/>
      <c r="F13" s="17"/>
      <c r="G13" s="17"/>
      <c r="H13" s="17"/>
      <c r="I13" s="55" t="s">
        <v>175</v>
      </c>
      <c r="J13" s="58">
        <v>683</v>
      </c>
      <c r="K13" s="59" t="s">
        <v>249</v>
      </c>
      <c r="L13" s="60" t="s">
        <v>2</v>
      </c>
    </row>
    <row r="14" spans="1:18" ht="27" thickBot="1" x14ac:dyDescent="0.45">
      <c r="A14" s="10" t="s">
        <v>213</v>
      </c>
      <c r="B14" s="45">
        <v>175</v>
      </c>
      <c r="C14" s="46" t="s">
        <v>6</v>
      </c>
      <c r="D14" s="47" t="s">
        <v>214</v>
      </c>
      <c r="E14" s="53" t="s">
        <v>238</v>
      </c>
      <c r="F14" s="54">
        <f>SUM(F5:F12)</f>
        <v>5631</v>
      </c>
      <c r="G14" s="20"/>
      <c r="H14" s="20"/>
      <c r="I14" s="55" t="s">
        <v>241</v>
      </c>
      <c r="J14" s="58">
        <v>400</v>
      </c>
      <c r="K14" s="59" t="s">
        <v>249</v>
      </c>
      <c r="L14" s="60" t="s">
        <v>242</v>
      </c>
    </row>
    <row r="15" spans="1:18" x14ac:dyDescent="0.4">
      <c r="A15" s="10" t="s">
        <v>215</v>
      </c>
      <c r="B15" s="45">
        <v>20</v>
      </c>
      <c r="C15" s="46" t="s">
        <v>6</v>
      </c>
      <c r="D15" s="47" t="s">
        <v>12</v>
      </c>
      <c r="I15" s="55" t="s">
        <v>250</v>
      </c>
      <c r="J15" s="58">
        <v>58</v>
      </c>
      <c r="K15" s="59" t="s">
        <v>249</v>
      </c>
      <c r="L15" s="60" t="s">
        <v>12</v>
      </c>
    </row>
    <row r="16" spans="1:18" x14ac:dyDescent="0.4">
      <c r="A16" s="10" t="s">
        <v>150</v>
      </c>
      <c r="B16" s="45">
        <v>40</v>
      </c>
      <c r="C16" s="46" t="s">
        <v>6</v>
      </c>
      <c r="D16" s="47" t="s">
        <v>151</v>
      </c>
      <c r="E16" s="1" t="s">
        <v>276</v>
      </c>
      <c r="F16" s="1">
        <f>B50+F14+J37</f>
        <v>33988</v>
      </c>
      <c r="I16" s="55" t="s">
        <v>251</v>
      </c>
      <c r="J16" s="58">
        <v>25</v>
      </c>
      <c r="K16" s="59" t="s">
        <v>252</v>
      </c>
      <c r="L16" s="60" t="s">
        <v>2</v>
      </c>
    </row>
    <row r="17" spans="1:12" x14ac:dyDescent="0.4">
      <c r="A17" s="10" t="s">
        <v>218</v>
      </c>
      <c r="B17" s="45">
        <v>35</v>
      </c>
      <c r="C17" s="46" t="s">
        <v>6</v>
      </c>
      <c r="D17" s="47" t="s">
        <v>214</v>
      </c>
      <c r="I17" s="55" t="s">
        <v>243</v>
      </c>
      <c r="J17" s="58">
        <v>20</v>
      </c>
      <c r="K17" s="59" t="s">
        <v>249</v>
      </c>
      <c r="L17" s="60" t="s">
        <v>151</v>
      </c>
    </row>
    <row r="18" spans="1:12" x14ac:dyDescent="0.4">
      <c r="A18" s="10" t="s">
        <v>219</v>
      </c>
      <c r="B18" s="45">
        <v>50</v>
      </c>
      <c r="C18" s="46" t="s">
        <v>6</v>
      </c>
      <c r="D18" s="47" t="s">
        <v>220</v>
      </c>
      <c r="I18" s="55" t="s">
        <v>85</v>
      </c>
      <c r="J18" s="58">
        <v>20</v>
      </c>
      <c r="K18" s="59" t="s">
        <v>249</v>
      </c>
      <c r="L18" s="60" t="s">
        <v>16</v>
      </c>
    </row>
    <row r="19" spans="1:12" x14ac:dyDescent="0.4">
      <c r="A19" s="111" t="s">
        <v>273</v>
      </c>
      <c r="B19" s="112"/>
      <c r="C19" s="112"/>
      <c r="D19" s="113"/>
      <c r="I19" s="144" t="s">
        <v>253</v>
      </c>
      <c r="J19" s="145"/>
      <c r="K19" s="145"/>
      <c r="L19" s="148"/>
    </row>
    <row r="20" spans="1:12" x14ac:dyDescent="0.4">
      <c r="A20" s="48" t="s">
        <v>37</v>
      </c>
      <c r="B20" s="45">
        <v>211</v>
      </c>
      <c r="C20" s="46" t="s">
        <v>221</v>
      </c>
      <c r="D20" s="47" t="s">
        <v>2</v>
      </c>
      <c r="I20" s="55" t="s">
        <v>175</v>
      </c>
      <c r="J20" s="58">
        <f>1822+253</f>
        <v>2075</v>
      </c>
      <c r="K20" s="59" t="s">
        <v>254</v>
      </c>
      <c r="L20" s="60" t="s">
        <v>2</v>
      </c>
    </row>
    <row r="21" spans="1:12" x14ac:dyDescent="0.4">
      <c r="A21" s="48" t="s">
        <v>222</v>
      </c>
      <c r="B21" s="45">
        <v>20</v>
      </c>
      <c r="C21" s="46" t="s">
        <v>221</v>
      </c>
      <c r="D21" s="47" t="s">
        <v>12</v>
      </c>
      <c r="I21" s="55" t="s">
        <v>255</v>
      </c>
      <c r="J21" s="58">
        <v>40</v>
      </c>
      <c r="K21" s="59" t="s">
        <v>254</v>
      </c>
      <c r="L21" s="60" t="s">
        <v>12</v>
      </c>
    </row>
    <row r="22" spans="1:12" x14ac:dyDescent="0.4">
      <c r="A22" s="48" t="s">
        <v>129</v>
      </c>
      <c r="B22" s="45">
        <v>20</v>
      </c>
      <c r="C22" s="46" t="s">
        <v>221</v>
      </c>
      <c r="D22" s="47" t="s">
        <v>16</v>
      </c>
      <c r="I22" s="55" t="s">
        <v>245</v>
      </c>
      <c r="J22" s="58">
        <v>50</v>
      </c>
      <c r="K22" s="59" t="s">
        <v>254</v>
      </c>
      <c r="L22" s="60" t="s">
        <v>18</v>
      </c>
    </row>
    <row r="23" spans="1:12" x14ac:dyDescent="0.4">
      <c r="A23" s="48" t="s">
        <v>223</v>
      </c>
      <c r="B23" s="45">
        <v>11</v>
      </c>
      <c r="C23" s="46" t="s">
        <v>224</v>
      </c>
      <c r="D23" s="47" t="s">
        <v>2</v>
      </c>
      <c r="I23" s="55" t="s">
        <v>129</v>
      </c>
      <c r="J23" s="58">
        <v>80</v>
      </c>
      <c r="K23" s="59" t="s">
        <v>254</v>
      </c>
      <c r="L23" s="60" t="s">
        <v>16</v>
      </c>
    </row>
    <row r="24" spans="1:12" x14ac:dyDescent="0.4">
      <c r="A24" s="48" t="s">
        <v>226</v>
      </c>
      <c r="B24" s="45">
        <v>630</v>
      </c>
      <c r="C24" s="46" t="s">
        <v>225</v>
      </c>
      <c r="D24" s="47" t="s">
        <v>2</v>
      </c>
      <c r="I24" s="55" t="s">
        <v>241</v>
      </c>
      <c r="J24" s="58">
        <v>225</v>
      </c>
      <c r="K24" s="59" t="s">
        <v>254</v>
      </c>
      <c r="L24" s="60" t="s">
        <v>242</v>
      </c>
    </row>
    <row r="25" spans="1:12" x14ac:dyDescent="0.4">
      <c r="A25" s="48" t="s">
        <v>227</v>
      </c>
      <c r="B25" s="45">
        <v>25</v>
      </c>
      <c r="C25" s="46" t="s">
        <v>225</v>
      </c>
      <c r="D25" s="47" t="s">
        <v>214</v>
      </c>
      <c r="I25" s="55" t="s">
        <v>256</v>
      </c>
      <c r="J25" s="58">
        <f>59871-59846</f>
        <v>25</v>
      </c>
      <c r="K25" s="59" t="s">
        <v>254</v>
      </c>
      <c r="L25" s="60" t="s">
        <v>77</v>
      </c>
    </row>
    <row r="26" spans="1:12" x14ac:dyDescent="0.4">
      <c r="A26" s="111" t="s">
        <v>535</v>
      </c>
      <c r="B26" s="112"/>
      <c r="C26" s="112"/>
      <c r="D26" s="113"/>
      <c r="I26" s="55" t="s">
        <v>260</v>
      </c>
      <c r="J26" s="58">
        <v>201</v>
      </c>
      <c r="K26" s="59" t="s">
        <v>254</v>
      </c>
      <c r="L26" s="60" t="s">
        <v>12</v>
      </c>
    </row>
    <row r="27" spans="1:12" x14ac:dyDescent="0.4">
      <c r="A27" s="48" t="s">
        <v>265</v>
      </c>
      <c r="B27" s="45">
        <v>522</v>
      </c>
      <c r="C27" s="46" t="s">
        <v>534</v>
      </c>
      <c r="D27" s="47" t="s">
        <v>2</v>
      </c>
      <c r="I27" s="55" t="s">
        <v>160</v>
      </c>
      <c r="J27" s="58">
        <v>20</v>
      </c>
      <c r="K27" s="59" t="s">
        <v>254</v>
      </c>
      <c r="L27" s="60" t="s">
        <v>14</v>
      </c>
    </row>
    <row r="28" spans="1:12" x14ac:dyDescent="0.4">
      <c r="A28" s="48" t="s">
        <v>267</v>
      </c>
      <c r="B28" s="45">
        <v>175</v>
      </c>
      <c r="C28" s="46" t="s">
        <v>534</v>
      </c>
      <c r="D28" s="47" t="s">
        <v>2</v>
      </c>
      <c r="I28" s="55" t="s">
        <v>259</v>
      </c>
      <c r="J28" s="58">
        <v>5000</v>
      </c>
      <c r="K28" s="59" t="s">
        <v>254</v>
      </c>
      <c r="L28" s="60" t="s">
        <v>2</v>
      </c>
    </row>
    <row r="29" spans="1:12" x14ac:dyDescent="0.4">
      <c r="A29" s="48" t="s">
        <v>272</v>
      </c>
      <c r="B29" s="45">
        <v>1000</v>
      </c>
      <c r="C29" s="46" t="s">
        <v>534</v>
      </c>
      <c r="D29" s="47" t="s">
        <v>2</v>
      </c>
      <c r="I29" s="55" t="s">
        <v>261</v>
      </c>
      <c r="J29" s="58">
        <v>1500</v>
      </c>
      <c r="K29" s="59" t="s">
        <v>254</v>
      </c>
      <c r="L29" s="60" t="s">
        <v>69</v>
      </c>
    </row>
    <row r="30" spans="1:12" x14ac:dyDescent="0.4">
      <c r="A30" s="48" t="s">
        <v>270</v>
      </c>
      <c r="B30" s="45">
        <v>20</v>
      </c>
      <c r="C30" s="46" t="s">
        <v>534</v>
      </c>
      <c r="D30" s="47" t="s">
        <v>536</v>
      </c>
      <c r="I30" s="55" t="s">
        <v>263</v>
      </c>
      <c r="J30" s="58">
        <f>390+225</f>
        <v>615</v>
      </c>
      <c r="K30" s="59" t="s">
        <v>262</v>
      </c>
      <c r="L30" s="60" t="s">
        <v>2</v>
      </c>
    </row>
    <row r="31" spans="1:12" x14ac:dyDescent="0.4">
      <c r="A31" s="111" t="s">
        <v>370</v>
      </c>
      <c r="B31" s="112"/>
      <c r="C31" s="112"/>
      <c r="D31" s="113"/>
      <c r="I31" s="144" t="s">
        <v>264</v>
      </c>
      <c r="J31" s="145"/>
      <c r="K31" s="145"/>
      <c r="L31" s="148"/>
    </row>
    <row r="32" spans="1:12" x14ac:dyDescent="0.4">
      <c r="A32" s="48" t="s">
        <v>270</v>
      </c>
      <c r="B32" s="45">
        <v>20</v>
      </c>
      <c r="C32" s="46" t="s">
        <v>537</v>
      </c>
      <c r="D32" s="47" t="s">
        <v>536</v>
      </c>
      <c r="I32" s="55" t="s">
        <v>266</v>
      </c>
      <c r="J32" s="58">
        <f>73352-68852</f>
        <v>4500</v>
      </c>
      <c r="K32" s="59" t="s">
        <v>262</v>
      </c>
      <c r="L32" s="60" t="s">
        <v>2</v>
      </c>
    </row>
    <row r="33" spans="1:12" x14ac:dyDescent="0.4">
      <c r="A33" s="48" t="s">
        <v>268</v>
      </c>
      <c r="B33" s="45">
        <v>20</v>
      </c>
      <c r="C33" s="46" t="s">
        <v>537</v>
      </c>
      <c r="D33" s="47" t="s">
        <v>536</v>
      </c>
      <c r="I33" s="144" t="s">
        <v>257</v>
      </c>
      <c r="J33" s="145"/>
      <c r="K33" s="145"/>
      <c r="L33" s="148"/>
    </row>
    <row r="34" spans="1:12" x14ac:dyDescent="0.4">
      <c r="A34" s="111" t="s">
        <v>275</v>
      </c>
      <c r="B34" s="112"/>
      <c r="C34" s="112"/>
      <c r="D34" s="113"/>
      <c r="I34" s="55" t="s">
        <v>129</v>
      </c>
      <c r="J34" s="58">
        <v>20</v>
      </c>
      <c r="K34" s="59" t="s">
        <v>258</v>
      </c>
      <c r="L34" s="60" t="s">
        <v>16</v>
      </c>
    </row>
    <row r="35" spans="1:12" x14ac:dyDescent="0.4">
      <c r="A35" s="48" t="s">
        <v>175</v>
      </c>
      <c r="B35" s="45">
        <v>160</v>
      </c>
      <c r="C35" s="46" t="s">
        <v>538</v>
      </c>
      <c r="D35" s="47" t="s">
        <v>2</v>
      </c>
      <c r="I35" s="55" t="s">
        <v>255</v>
      </c>
      <c r="J35" s="58">
        <v>60</v>
      </c>
      <c r="K35" s="59" t="s">
        <v>258</v>
      </c>
      <c r="L35" s="60" t="s">
        <v>12</v>
      </c>
    </row>
    <row r="36" spans="1:12" x14ac:dyDescent="0.4">
      <c r="A36" s="48" t="s">
        <v>270</v>
      </c>
      <c r="B36" s="45">
        <v>20</v>
      </c>
      <c r="C36" s="46" t="s">
        <v>538</v>
      </c>
      <c r="D36" s="47" t="s">
        <v>536</v>
      </c>
      <c r="I36" s="22"/>
      <c r="J36" s="23"/>
      <c r="K36" s="23"/>
      <c r="L36" s="24"/>
    </row>
    <row r="37" spans="1:12" ht="27" thickBot="1" x14ac:dyDescent="0.45">
      <c r="A37" s="111" t="s">
        <v>372</v>
      </c>
      <c r="B37" s="112"/>
      <c r="C37" s="112"/>
      <c r="D37" s="113"/>
      <c r="I37" s="56" t="s">
        <v>239</v>
      </c>
      <c r="J37" s="57">
        <f>SUM(J5:J35)</f>
        <v>18770</v>
      </c>
      <c r="K37" s="26"/>
      <c r="L37" s="27"/>
    </row>
    <row r="38" spans="1:12" x14ac:dyDescent="0.4">
      <c r="A38" s="48" t="s">
        <v>265</v>
      </c>
      <c r="B38" s="45">
        <v>130</v>
      </c>
      <c r="C38" s="46" t="s">
        <v>539</v>
      </c>
      <c r="D38" s="47" t="s">
        <v>2</v>
      </c>
    </row>
    <row r="39" spans="1:12" x14ac:dyDescent="0.4">
      <c r="A39" s="48" t="s">
        <v>271</v>
      </c>
      <c r="B39" s="45">
        <v>50</v>
      </c>
      <c r="C39" s="46" t="s">
        <v>539</v>
      </c>
      <c r="D39" s="47" t="s">
        <v>2</v>
      </c>
    </row>
    <row r="40" spans="1:12" x14ac:dyDescent="0.4">
      <c r="A40" s="10" t="s">
        <v>150</v>
      </c>
      <c r="B40" s="45">
        <v>20</v>
      </c>
      <c r="C40" s="46" t="s">
        <v>539</v>
      </c>
      <c r="D40" s="47" t="s">
        <v>2</v>
      </c>
    </row>
    <row r="41" spans="1:12" x14ac:dyDescent="0.4">
      <c r="A41" s="111" t="s">
        <v>373</v>
      </c>
      <c r="B41" s="112"/>
      <c r="C41" s="112"/>
      <c r="D41" s="113"/>
    </row>
    <row r="42" spans="1:12" x14ac:dyDescent="0.4">
      <c r="A42" s="48" t="s">
        <v>175</v>
      </c>
      <c r="B42" s="45">
        <v>295</v>
      </c>
      <c r="C42" s="46" t="s">
        <v>540</v>
      </c>
      <c r="D42" s="47" t="s">
        <v>2</v>
      </c>
    </row>
    <row r="43" spans="1:12" x14ac:dyDescent="0.4">
      <c r="A43" s="48" t="s">
        <v>267</v>
      </c>
      <c r="B43" s="45">
        <v>75</v>
      </c>
      <c r="C43" s="46" t="s">
        <v>540</v>
      </c>
      <c r="D43" s="47" t="s">
        <v>2</v>
      </c>
    </row>
    <row r="44" spans="1:12" x14ac:dyDescent="0.4">
      <c r="A44" s="111" t="s">
        <v>374</v>
      </c>
      <c r="B44" s="112"/>
      <c r="C44" s="112"/>
      <c r="D44" s="113"/>
    </row>
    <row r="45" spans="1:12" x14ac:dyDescent="0.4">
      <c r="A45" s="48" t="s">
        <v>175</v>
      </c>
      <c r="B45" s="45">
        <v>225</v>
      </c>
      <c r="C45" s="46" t="s">
        <v>541</v>
      </c>
      <c r="D45" s="47" t="s">
        <v>2</v>
      </c>
    </row>
    <row r="46" spans="1:12" x14ac:dyDescent="0.4">
      <c r="A46" s="111" t="s">
        <v>360</v>
      </c>
      <c r="B46" s="112"/>
      <c r="C46" s="112"/>
      <c r="D46" s="113"/>
    </row>
    <row r="47" spans="1:12" x14ac:dyDescent="0.4">
      <c r="A47" s="48" t="s">
        <v>361</v>
      </c>
      <c r="B47" s="45">
        <v>1906</v>
      </c>
      <c r="C47" s="11" t="s">
        <v>6</v>
      </c>
      <c r="D47" s="47" t="s">
        <v>2</v>
      </c>
    </row>
    <row r="48" spans="1:12" x14ac:dyDescent="0.4">
      <c r="A48" s="48" t="s">
        <v>362</v>
      </c>
      <c r="B48" s="45">
        <v>1931</v>
      </c>
      <c r="C48" s="11" t="s">
        <v>6</v>
      </c>
      <c r="D48" s="47" t="s">
        <v>2</v>
      </c>
    </row>
    <row r="49" spans="1:8" x14ac:dyDescent="0.4">
      <c r="A49" s="50"/>
      <c r="B49" s="51"/>
      <c r="C49" s="11"/>
      <c r="D49" s="49"/>
    </row>
    <row r="50" spans="1:8" ht="27" thickBot="1" x14ac:dyDescent="0.45">
      <c r="A50" s="13" t="s">
        <v>208</v>
      </c>
      <c r="B50" s="14">
        <f>SUM(B5:B48)</f>
        <v>9587</v>
      </c>
      <c r="C50" s="14"/>
      <c r="D50" s="15"/>
    </row>
    <row r="58" spans="1:8" x14ac:dyDescent="0.4">
      <c r="E58" s="6"/>
      <c r="F58" s="6"/>
      <c r="G58" s="6"/>
      <c r="H58" s="6"/>
    </row>
    <row r="76" spans="1:12" x14ac:dyDescent="0.4">
      <c r="I76" s="6"/>
      <c r="J76" s="6"/>
      <c r="K76" s="6"/>
      <c r="L76" s="6"/>
    </row>
    <row r="78" spans="1:12" x14ac:dyDescent="0.4">
      <c r="I78" s="1" t="s">
        <v>171</v>
      </c>
      <c r="J78" s="1">
        <f>SUM(J5:J59)</f>
        <v>37540</v>
      </c>
    </row>
    <row r="80" spans="1:12" x14ac:dyDescent="0.4">
      <c r="A80" s="6"/>
      <c r="B80" s="6"/>
      <c r="C80" s="6"/>
      <c r="D80" s="6"/>
    </row>
    <row r="82" spans="1:4" x14ac:dyDescent="0.4">
      <c r="A82" s="1" t="s">
        <v>99</v>
      </c>
      <c r="B82" s="1">
        <f>SUM(B5:B80)</f>
        <v>19174</v>
      </c>
    </row>
    <row r="84" spans="1:4" x14ac:dyDescent="0.4">
      <c r="A84" s="1" t="s">
        <v>204</v>
      </c>
      <c r="B84" s="1">
        <f>B82+F60+J78</f>
        <v>56714</v>
      </c>
      <c r="C84" s="3"/>
      <c r="D84" s="3"/>
    </row>
    <row r="85" spans="1:4" x14ac:dyDescent="0.4">
      <c r="A85" s="1" t="s">
        <v>205</v>
      </c>
      <c r="B85" s="1">
        <f>'Dragon Kingdom'!F36+B84</f>
        <v>78661</v>
      </c>
    </row>
    <row r="88" spans="1:4" x14ac:dyDescent="0.4">
      <c r="A88" s="146"/>
      <c r="B88" s="146"/>
      <c r="C88" s="146"/>
      <c r="D88" s="146"/>
    </row>
    <row r="91" spans="1:4" x14ac:dyDescent="0.4">
      <c r="A91" s="146"/>
      <c r="B91" s="146"/>
      <c r="C91" s="146"/>
      <c r="D91" s="146"/>
    </row>
    <row r="94" spans="1:4" x14ac:dyDescent="0.4">
      <c r="A94" s="146"/>
      <c r="B94" s="146"/>
      <c r="C94" s="146"/>
      <c r="D94" s="146"/>
    </row>
  </sheetData>
  <dataConsolidate/>
  <mergeCells count="25">
    <mergeCell ref="E10:H10"/>
    <mergeCell ref="A88:D88"/>
    <mergeCell ref="A91:D91"/>
    <mergeCell ref="A94:D94"/>
    <mergeCell ref="A7:D7"/>
    <mergeCell ref="A11:D11"/>
    <mergeCell ref="A46:D46"/>
    <mergeCell ref="A31:D31"/>
    <mergeCell ref="A34:D34"/>
    <mergeCell ref="A37:D37"/>
    <mergeCell ref="A41:D41"/>
    <mergeCell ref="A44:D44"/>
    <mergeCell ref="I12:L12"/>
    <mergeCell ref="A26:D26"/>
    <mergeCell ref="I33:L33"/>
    <mergeCell ref="I31:L31"/>
    <mergeCell ref="A19:D19"/>
    <mergeCell ref="I19:L19"/>
    <mergeCell ref="A1:L1"/>
    <mergeCell ref="A2:D2"/>
    <mergeCell ref="E2:H2"/>
    <mergeCell ref="I2:L2"/>
    <mergeCell ref="A4:D4"/>
    <mergeCell ref="E4:H4"/>
    <mergeCell ref="I4:L4"/>
  </mergeCell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9DCD4-90F4-4BF0-84D0-8058BDEFF8B1}">
  <dimension ref="A1:T75"/>
  <sheetViews>
    <sheetView topLeftCell="C1" zoomScale="70" zoomScaleNormal="70" workbookViewId="0">
      <selection activeCell="Q9" sqref="Q9"/>
    </sheetView>
  </sheetViews>
  <sheetFormatPr defaultRowHeight="26.25" x14ac:dyDescent="0.4"/>
  <cols>
    <col min="1" max="1" width="118.28515625" style="1" bestFit="1" customWidth="1"/>
    <col min="2" max="2" width="17.85546875" style="1" bestFit="1" customWidth="1"/>
    <col min="3" max="3" width="36" style="1" bestFit="1" customWidth="1"/>
    <col min="4" max="4" width="57.42578125" style="1" bestFit="1" customWidth="1"/>
    <col min="5" max="5" width="92.7109375" style="1" bestFit="1" customWidth="1"/>
    <col min="6" max="6" width="14.42578125" style="1" customWidth="1"/>
    <col min="7" max="7" width="44.28515625" style="1" bestFit="1" customWidth="1"/>
    <col min="8" max="8" width="58.7109375" style="1" bestFit="1" customWidth="1"/>
    <col min="9" max="9" width="84.42578125" style="1" bestFit="1" customWidth="1"/>
    <col min="10" max="10" width="14.42578125" style="1" bestFit="1" customWidth="1"/>
    <col min="11" max="11" width="50.7109375" style="1" bestFit="1" customWidth="1"/>
    <col min="12" max="12" width="49.140625" style="1" bestFit="1" customWidth="1"/>
    <col min="13" max="13" width="100.7109375" style="1" bestFit="1" customWidth="1"/>
    <col min="14" max="14" width="14.42578125" style="1" bestFit="1" customWidth="1"/>
    <col min="15" max="15" width="46.85546875" style="1" bestFit="1" customWidth="1"/>
    <col min="16" max="16" width="40.7109375" style="1" bestFit="1" customWidth="1"/>
    <col min="17" max="17" width="85.85546875" style="1" customWidth="1"/>
    <col min="18" max="18" width="14.42578125" style="1" bestFit="1" customWidth="1"/>
    <col min="19" max="19" width="21" style="1" bestFit="1" customWidth="1"/>
    <col min="20" max="20" width="25.5703125" style="1" bestFit="1" customWidth="1"/>
    <col min="21" max="16384" width="9.140625" style="1"/>
  </cols>
  <sheetData>
    <row r="1" spans="1:20" ht="27" thickBot="1" x14ac:dyDescent="0.45">
      <c r="A1" s="114" t="str">
        <f>"Volcanic Isle (total " &amp; F30 &amp; ")"</f>
        <v>Volcanic Isle (total 48366)</v>
      </c>
      <c r="B1" s="115"/>
      <c r="C1" s="115"/>
      <c r="D1" s="115"/>
      <c r="E1" s="115"/>
      <c r="F1" s="115"/>
      <c r="G1" s="115"/>
      <c r="H1" s="115"/>
      <c r="I1" s="115"/>
      <c r="J1" s="115"/>
      <c r="K1" s="115"/>
      <c r="L1" s="115"/>
      <c r="M1" s="115"/>
      <c r="N1" s="115"/>
      <c r="O1" s="115"/>
      <c r="P1" s="115"/>
      <c r="Q1" s="115"/>
      <c r="R1" s="115"/>
      <c r="S1" s="115"/>
      <c r="T1" s="116"/>
    </row>
    <row r="2" spans="1:20" ht="27" thickBot="1" x14ac:dyDescent="0.45">
      <c r="A2" s="117" t="s">
        <v>277</v>
      </c>
      <c r="B2" s="118"/>
      <c r="C2" s="118"/>
      <c r="D2" s="119"/>
      <c r="E2" s="120" t="s">
        <v>291</v>
      </c>
      <c r="F2" s="121"/>
      <c r="G2" s="121"/>
      <c r="H2" s="122"/>
      <c r="I2" s="123" t="s">
        <v>323</v>
      </c>
      <c r="J2" s="124"/>
      <c r="K2" s="124"/>
      <c r="L2" s="125"/>
      <c r="M2" s="126" t="s">
        <v>327</v>
      </c>
      <c r="N2" s="127"/>
      <c r="O2" s="127"/>
      <c r="P2" s="128"/>
      <c r="Q2" s="117" t="s">
        <v>350</v>
      </c>
      <c r="R2" s="118"/>
      <c r="S2" s="118"/>
      <c r="T2" s="119"/>
    </row>
    <row r="3" spans="1:20" ht="27" thickBot="1" x14ac:dyDescent="0.45">
      <c r="A3" s="7" t="s">
        <v>0</v>
      </c>
      <c r="B3" s="8" t="s">
        <v>1</v>
      </c>
      <c r="C3" s="8" t="s">
        <v>19</v>
      </c>
      <c r="D3" s="9" t="s">
        <v>20</v>
      </c>
      <c r="E3" s="44" t="s">
        <v>0</v>
      </c>
      <c r="F3" s="28" t="s">
        <v>1</v>
      </c>
      <c r="G3" s="28" t="s">
        <v>19</v>
      </c>
      <c r="H3" s="29" t="s">
        <v>20</v>
      </c>
      <c r="I3" s="33" t="s">
        <v>0</v>
      </c>
      <c r="J3" s="34" t="s">
        <v>1</v>
      </c>
      <c r="K3" s="34" t="s">
        <v>19</v>
      </c>
      <c r="L3" s="35" t="s">
        <v>20</v>
      </c>
      <c r="M3" s="62" t="s">
        <v>0</v>
      </c>
      <c r="N3" s="63" t="s">
        <v>1</v>
      </c>
      <c r="O3" s="63" t="s">
        <v>19</v>
      </c>
      <c r="P3" s="64" t="s">
        <v>20</v>
      </c>
      <c r="Q3" s="7" t="s">
        <v>0</v>
      </c>
      <c r="R3" s="8" t="s">
        <v>1</v>
      </c>
      <c r="S3" s="8" t="s">
        <v>19</v>
      </c>
      <c r="T3" s="9" t="s">
        <v>20</v>
      </c>
    </row>
    <row r="4" spans="1:20" x14ac:dyDescent="0.4">
      <c r="A4" s="129" t="s">
        <v>278</v>
      </c>
      <c r="B4" s="130"/>
      <c r="C4" s="130"/>
      <c r="D4" s="131"/>
      <c r="E4" s="132" t="s">
        <v>23</v>
      </c>
      <c r="F4" s="133"/>
      <c r="G4" s="133"/>
      <c r="H4" s="133"/>
      <c r="I4" s="134" t="s">
        <v>320</v>
      </c>
      <c r="J4" s="135"/>
      <c r="K4" s="135"/>
      <c r="L4" s="135"/>
      <c r="M4" s="136" t="s">
        <v>329</v>
      </c>
      <c r="N4" s="137"/>
      <c r="O4" s="137"/>
      <c r="P4" s="138"/>
      <c r="Q4" s="129" t="s">
        <v>349</v>
      </c>
      <c r="R4" s="130"/>
      <c r="S4" s="130"/>
      <c r="T4" s="131"/>
    </row>
    <row r="5" spans="1:20" x14ac:dyDescent="0.4">
      <c r="A5" s="48" t="s">
        <v>100</v>
      </c>
      <c r="B5" s="45">
        <v>263</v>
      </c>
      <c r="C5" s="46" t="s">
        <v>2</v>
      </c>
      <c r="D5" s="47" t="s">
        <v>2</v>
      </c>
      <c r="E5" s="30" t="s">
        <v>175</v>
      </c>
      <c r="F5" s="31">
        <v>572</v>
      </c>
      <c r="G5" s="32" t="s">
        <v>2</v>
      </c>
      <c r="H5" s="32" t="s">
        <v>2</v>
      </c>
      <c r="I5" s="55" t="s">
        <v>175</v>
      </c>
      <c r="J5" s="58">
        <f>695+75</f>
        <v>770</v>
      </c>
      <c r="K5" s="59" t="s">
        <v>2</v>
      </c>
      <c r="L5" s="59" t="s">
        <v>2</v>
      </c>
      <c r="M5" s="65" t="s">
        <v>265</v>
      </c>
      <c r="N5" s="66">
        <f>690+70</f>
        <v>760</v>
      </c>
      <c r="O5" s="67" t="s">
        <v>2</v>
      </c>
      <c r="P5" s="68" t="s">
        <v>2</v>
      </c>
      <c r="Q5" s="48" t="s">
        <v>265</v>
      </c>
      <c r="R5" s="45">
        <v>558</v>
      </c>
      <c r="S5" s="46" t="s">
        <v>2</v>
      </c>
      <c r="T5" s="47" t="s">
        <v>2</v>
      </c>
    </row>
    <row r="6" spans="1:20" x14ac:dyDescent="0.4">
      <c r="A6" s="48" t="s">
        <v>25</v>
      </c>
      <c r="B6" s="45">
        <v>350</v>
      </c>
      <c r="C6" s="46" t="s">
        <v>2</v>
      </c>
      <c r="D6" s="47" t="s">
        <v>26</v>
      </c>
      <c r="E6" s="30" t="s">
        <v>293</v>
      </c>
      <c r="F6" s="31">
        <v>50</v>
      </c>
      <c r="G6" s="32" t="s">
        <v>2</v>
      </c>
      <c r="H6" s="32" t="s">
        <v>242</v>
      </c>
      <c r="I6" s="55" t="s">
        <v>316</v>
      </c>
      <c r="J6" s="58">
        <v>50</v>
      </c>
      <c r="K6" s="59" t="s">
        <v>32</v>
      </c>
      <c r="L6" s="59" t="s">
        <v>2</v>
      </c>
      <c r="M6" s="65" t="s">
        <v>330</v>
      </c>
      <c r="N6" s="66">
        <v>75</v>
      </c>
      <c r="O6" s="67" t="s">
        <v>2</v>
      </c>
      <c r="P6" s="68" t="s">
        <v>12</v>
      </c>
      <c r="Q6" s="111" t="s">
        <v>352</v>
      </c>
      <c r="R6" s="112"/>
      <c r="S6" s="112"/>
      <c r="T6" s="113"/>
    </row>
    <row r="7" spans="1:20" x14ac:dyDescent="0.4">
      <c r="A7" s="48" t="s">
        <v>27</v>
      </c>
      <c r="B7" s="45">
        <v>300</v>
      </c>
      <c r="C7" s="46" t="s">
        <v>2</v>
      </c>
      <c r="D7" s="47" t="s">
        <v>28</v>
      </c>
      <c r="E7" s="30" t="s">
        <v>294</v>
      </c>
      <c r="F7" s="31">
        <v>500</v>
      </c>
      <c r="G7" s="32" t="s">
        <v>2</v>
      </c>
      <c r="H7" s="32" t="s">
        <v>18</v>
      </c>
      <c r="I7" s="55" t="s">
        <v>269</v>
      </c>
      <c r="J7" s="58">
        <v>20</v>
      </c>
      <c r="K7" s="59" t="s">
        <v>2</v>
      </c>
      <c r="L7" s="59" t="s">
        <v>12</v>
      </c>
      <c r="M7" s="65" t="s">
        <v>337</v>
      </c>
      <c r="N7" s="66">
        <v>40</v>
      </c>
      <c r="O7" s="67" t="s">
        <v>2</v>
      </c>
      <c r="P7" s="68" t="s">
        <v>331</v>
      </c>
      <c r="Q7" s="48" t="s">
        <v>265</v>
      </c>
      <c r="R7" s="45">
        <v>517</v>
      </c>
      <c r="S7" s="46" t="s">
        <v>2</v>
      </c>
      <c r="T7" s="47" t="s">
        <v>2</v>
      </c>
    </row>
    <row r="8" spans="1:20" x14ac:dyDescent="0.4">
      <c r="A8" s="48" t="s">
        <v>281</v>
      </c>
      <c r="B8" s="45">
        <v>30</v>
      </c>
      <c r="C8" s="46" t="s">
        <v>2</v>
      </c>
      <c r="D8" s="47" t="s">
        <v>6</v>
      </c>
      <c r="E8" s="30" t="s">
        <v>295</v>
      </c>
      <c r="F8" s="31">
        <v>1500</v>
      </c>
      <c r="G8" s="32" t="s">
        <v>2</v>
      </c>
      <c r="H8" s="32" t="s">
        <v>69</v>
      </c>
      <c r="I8" s="55" t="s">
        <v>312</v>
      </c>
      <c r="J8" s="58">
        <v>25</v>
      </c>
      <c r="K8" s="59" t="s">
        <v>2</v>
      </c>
      <c r="L8" s="59" t="s">
        <v>18</v>
      </c>
      <c r="M8" s="65" t="s">
        <v>332</v>
      </c>
      <c r="N8" s="66">
        <v>100</v>
      </c>
      <c r="O8" s="67" t="s">
        <v>32</v>
      </c>
      <c r="P8" s="68" t="s">
        <v>2</v>
      </c>
      <c r="Q8" s="111" t="s">
        <v>353</v>
      </c>
      <c r="R8" s="112"/>
      <c r="S8" s="112"/>
      <c r="T8" s="113"/>
    </row>
    <row r="9" spans="1:20" x14ac:dyDescent="0.4">
      <c r="A9" s="48" t="s">
        <v>29</v>
      </c>
      <c r="B9" s="45">
        <v>350</v>
      </c>
      <c r="C9" s="46" t="s">
        <v>2</v>
      </c>
      <c r="D9" s="47" t="s">
        <v>30</v>
      </c>
      <c r="E9" s="139" t="s">
        <v>298</v>
      </c>
      <c r="F9" s="140"/>
      <c r="G9" s="140"/>
      <c r="H9" s="140"/>
      <c r="I9" s="55" t="s">
        <v>313</v>
      </c>
      <c r="J9" s="58">
        <v>25</v>
      </c>
      <c r="K9" s="59" t="s">
        <v>32</v>
      </c>
      <c r="L9" s="59" t="s">
        <v>18</v>
      </c>
      <c r="M9" s="65" t="s">
        <v>338</v>
      </c>
      <c r="N9" s="66">
        <v>50</v>
      </c>
      <c r="O9" s="67" t="s">
        <v>2</v>
      </c>
      <c r="P9" s="68" t="s">
        <v>242</v>
      </c>
      <c r="Q9" s="48" t="s">
        <v>265</v>
      </c>
      <c r="R9" s="45">
        <v>538</v>
      </c>
      <c r="S9" s="46" t="s">
        <v>2</v>
      </c>
      <c r="T9" s="47" t="s">
        <v>2</v>
      </c>
    </row>
    <row r="10" spans="1:20" x14ac:dyDescent="0.4">
      <c r="A10" s="48" t="s">
        <v>241</v>
      </c>
      <c r="B10" s="45">
        <v>375</v>
      </c>
      <c r="C10" s="46" t="s">
        <v>2</v>
      </c>
      <c r="D10" s="47" t="s">
        <v>242</v>
      </c>
      <c r="E10" s="16" t="s">
        <v>299</v>
      </c>
      <c r="F10" s="31">
        <v>50</v>
      </c>
      <c r="G10" s="32" t="s">
        <v>2</v>
      </c>
      <c r="H10" s="32" t="s">
        <v>296</v>
      </c>
      <c r="I10" s="55" t="s">
        <v>314</v>
      </c>
      <c r="J10" s="58">
        <v>100</v>
      </c>
      <c r="K10" s="59" t="s">
        <v>2</v>
      </c>
      <c r="L10" s="59" t="s">
        <v>32</v>
      </c>
      <c r="M10" s="65" t="s">
        <v>339</v>
      </c>
      <c r="N10" s="66">
        <v>100</v>
      </c>
      <c r="O10" s="67" t="s">
        <v>2</v>
      </c>
      <c r="P10" s="68"/>
      <c r="Q10" s="48" t="s">
        <v>354</v>
      </c>
      <c r="R10" s="45">
        <v>70</v>
      </c>
      <c r="S10" s="46" t="s">
        <v>18</v>
      </c>
      <c r="T10" s="47" t="s">
        <v>2</v>
      </c>
    </row>
    <row r="11" spans="1:20" x14ac:dyDescent="0.4">
      <c r="A11" s="48" t="s">
        <v>280</v>
      </c>
      <c r="B11" s="45">
        <v>1000</v>
      </c>
      <c r="C11" s="46" t="s">
        <v>2</v>
      </c>
      <c r="D11" s="47" t="s">
        <v>18</v>
      </c>
      <c r="E11" s="16" t="s">
        <v>300</v>
      </c>
      <c r="F11" s="31">
        <v>131</v>
      </c>
      <c r="G11" s="32" t="s">
        <v>2</v>
      </c>
      <c r="H11" s="32" t="s">
        <v>2</v>
      </c>
      <c r="I11" s="55" t="s">
        <v>315</v>
      </c>
      <c r="J11" s="58">
        <v>500</v>
      </c>
      <c r="K11" s="59" t="s">
        <v>2</v>
      </c>
      <c r="L11" s="59" t="s">
        <v>18</v>
      </c>
      <c r="M11" s="65" t="s">
        <v>241</v>
      </c>
      <c r="N11" s="66"/>
      <c r="O11" s="67" t="s">
        <v>2</v>
      </c>
      <c r="P11" s="68"/>
      <c r="Q11" s="111" t="s">
        <v>355</v>
      </c>
      <c r="R11" s="112"/>
      <c r="S11" s="112"/>
      <c r="T11" s="113"/>
    </row>
    <row r="12" spans="1:20" x14ac:dyDescent="0.4">
      <c r="A12" s="48" t="s">
        <v>215</v>
      </c>
      <c r="B12" s="45">
        <v>140</v>
      </c>
      <c r="C12" s="46" t="s">
        <v>2</v>
      </c>
      <c r="D12" s="47" t="s">
        <v>12</v>
      </c>
      <c r="E12" s="16" t="s">
        <v>297</v>
      </c>
      <c r="F12" s="31">
        <v>25</v>
      </c>
      <c r="G12" s="32" t="s">
        <v>2</v>
      </c>
      <c r="H12" s="32" t="s">
        <v>18</v>
      </c>
      <c r="I12" s="55" t="s">
        <v>317</v>
      </c>
      <c r="J12" s="58">
        <v>50</v>
      </c>
      <c r="K12" s="59" t="s">
        <v>32</v>
      </c>
      <c r="L12" s="59" t="s">
        <v>2</v>
      </c>
      <c r="M12" s="141" t="s">
        <v>333</v>
      </c>
      <c r="N12" s="142"/>
      <c r="O12" s="142"/>
      <c r="P12" s="143"/>
      <c r="Q12" s="48" t="s">
        <v>265</v>
      </c>
      <c r="R12" s="45">
        <v>1270</v>
      </c>
      <c r="S12" s="46" t="s">
        <v>2</v>
      </c>
      <c r="T12" s="47" t="s">
        <v>2</v>
      </c>
    </row>
    <row r="13" spans="1:20" x14ac:dyDescent="0.4">
      <c r="A13" s="48" t="s">
        <v>243</v>
      </c>
      <c r="B13" s="45">
        <v>80</v>
      </c>
      <c r="C13" s="46" t="s">
        <v>2</v>
      </c>
      <c r="D13" s="47" t="s">
        <v>151</v>
      </c>
      <c r="E13" s="139" t="s">
        <v>305</v>
      </c>
      <c r="F13" s="140"/>
      <c r="G13" s="140"/>
      <c r="H13" s="140"/>
      <c r="I13" s="55" t="s">
        <v>318</v>
      </c>
      <c r="J13" s="58">
        <v>20</v>
      </c>
      <c r="K13" s="59" t="s">
        <v>32</v>
      </c>
      <c r="L13" s="59" t="s">
        <v>16</v>
      </c>
      <c r="M13" s="65" t="s">
        <v>334</v>
      </c>
      <c r="N13" s="66">
        <v>470</v>
      </c>
      <c r="O13" s="67" t="s">
        <v>82</v>
      </c>
      <c r="P13" s="68" t="s">
        <v>242</v>
      </c>
      <c r="Q13" s="111" t="s">
        <v>356</v>
      </c>
      <c r="R13" s="112"/>
      <c r="S13" s="112"/>
      <c r="T13" s="113"/>
    </row>
    <row r="14" spans="1:20" x14ac:dyDescent="0.4">
      <c r="A14" s="48" t="s">
        <v>85</v>
      </c>
      <c r="B14" s="45">
        <v>60</v>
      </c>
      <c r="C14" s="46" t="s">
        <v>2</v>
      </c>
      <c r="D14" s="47" t="s">
        <v>16</v>
      </c>
      <c r="E14" s="16" t="s">
        <v>265</v>
      </c>
      <c r="F14" s="31">
        <v>1498</v>
      </c>
      <c r="G14" s="32" t="s">
        <v>296</v>
      </c>
      <c r="H14" s="32" t="s">
        <v>2</v>
      </c>
      <c r="I14" s="55" t="s">
        <v>319</v>
      </c>
      <c r="J14" s="58">
        <v>40</v>
      </c>
      <c r="K14" s="59" t="s">
        <v>2</v>
      </c>
      <c r="L14" s="59" t="s">
        <v>16</v>
      </c>
      <c r="M14" s="65" t="s">
        <v>330</v>
      </c>
      <c r="N14" s="66">
        <v>125</v>
      </c>
      <c r="O14" s="67"/>
      <c r="P14" s="68" t="s">
        <v>12</v>
      </c>
      <c r="Q14" s="48" t="s">
        <v>265</v>
      </c>
      <c r="R14" s="45">
        <f>109265-108705</f>
        <v>560</v>
      </c>
      <c r="S14" s="46" t="s">
        <v>2</v>
      </c>
      <c r="T14" s="47" t="s">
        <v>2</v>
      </c>
    </row>
    <row r="15" spans="1:20" x14ac:dyDescent="0.4">
      <c r="A15" s="48" t="s">
        <v>284</v>
      </c>
      <c r="B15" s="45">
        <v>100</v>
      </c>
      <c r="C15" s="46" t="s">
        <v>89</v>
      </c>
      <c r="D15" s="47" t="s">
        <v>32</v>
      </c>
      <c r="E15" s="16" t="s">
        <v>301</v>
      </c>
      <c r="F15" s="31">
        <v>400</v>
      </c>
      <c r="G15" s="32" t="s">
        <v>296</v>
      </c>
      <c r="H15" s="32" t="s">
        <v>32</v>
      </c>
      <c r="I15" s="144" t="s">
        <v>164</v>
      </c>
      <c r="J15" s="145"/>
      <c r="K15" s="145"/>
      <c r="L15" s="145"/>
      <c r="M15" s="65" t="s">
        <v>241</v>
      </c>
      <c r="N15" s="66">
        <v>50</v>
      </c>
      <c r="O15" s="67"/>
      <c r="P15" s="68"/>
      <c r="Q15" s="48" t="s">
        <v>357</v>
      </c>
      <c r="R15" s="11">
        <v>155</v>
      </c>
      <c r="S15" s="46" t="s">
        <v>358</v>
      </c>
      <c r="T15" s="47" t="s">
        <v>2</v>
      </c>
    </row>
    <row r="16" spans="1:20" x14ac:dyDescent="0.4">
      <c r="A16" s="111" t="s">
        <v>282</v>
      </c>
      <c r="B16" s="112"/>
      <c r="C16" s="112"/>
      <c r="D16" s="113"/>
      <c r="E16" s="16" t="s">
        <v>302</v>
      </c>
      <c r="F16" s="31">
        <v>40</v>
      </c>
      <c r="G16" s="32" t="s">
        <v>296</v>
      </c>
      <c r="H16" s="32" t="s">
        <v>16</v>
      </c>
      <c r="I16" s="55" t="s">
        <v>265</v>
      </c>
      <c r="J16" s="58">
        <v>447</v>
      </c>
      <c r="K16" s="59" t="s">
        <v>164</v>
      </c>
      <c r="L16" s="59" t="s">
        <v>2</v>
      </c>
      <c r="M16" s="65" t="s">
        <v>335</v>
      </c>
      <c r="N16" s="66">
        <v>350</v>
      </c>
      <c r="O16" s="67" t="s">
        <v>336</v>
      </c>
      <c r="P16" s="68" t="s">
        <v>32</v>
      </c>
      <c r="Q16" s="111" t="s">
        <v>359</v>
      </c>
      <c r="R16" s="112"/>
      <c r="S16" s="112"/>
      <c r="T16" s="113"/>
    </row>
    <row r="17" spans="1:20" x14ac:dyDescent="0.4">
      <c r="A17" s="10" t="s">
        <v>175</v>
      </c>
      <c r="B17" s="45">
        <f>1334+80</f>
        <v>1414</v>
      </c>
      <c r="C17" s="46" t="s">
        <v>6</v>
      </c>
      <c r="D17" s="47" t="s">
        <v>2</v>
      </c>
      <c r="E17" s="16" t="s">
        <v>303</v>
      </c>
      <c r="F17" s="31">
        <v>20</v>
      </c>
      <c r="G17" s="32" t="s">
        <v>296</v>
      </c>
      <c r="H17" s="32" t="s">
        <v>14</v>
      </c>
      <c r="I17" s="144" t="s">
        <v>322</v>
      </c>
      <c r="J17" s="145"/>
      <c r="K17" s="145"/>
      <c r="L17" s="145"/>
      <c r="M17" s="141" t="s">
        <v>340</v>
      </c>
      <c r="N17" s="142"/>
      <c r="O17" s="142"/>
      <c r="P17" s="143"/>
      <c r="Q17" s="48" t="s">
        <v>265</v>
      </c>
      <c r="R17" s="45">
        <v>140</v>
      </c>
      <c r="S17" s="46"/>
      <c r="T17" s="47"/>
    </row>
    <row r="18" spans="1:20" x14ac:dyDescent="0.4">
      <c r="A18" s="10" t="s">
        <v>283</v>
      </c>
      <c r="B18" s="45">
        <v>1500</v>
      </c>
      <c r="C18" s="46" t="s">
        <v>6</v>
      </c>
      <c r="D18" s="47" t="s">
        <v>18</v>
      </c>
      <c r="E18" s="16" t="s">
        <v>304</v>
      </c>
      <c r="F18" s="31">
        <v>20</v>
      </c>
      <c r="G18" s="32" t="s">
        <v>296</v>
      </c>
      <c r="H18" s="32" t="s">
        <v>12</v>
      </c>
      <c r="I18" s="55" t="s">
        <v>265</v>
      </c>
      <c r="J18" s="58">
        <v>1101</v>
      </c>
      <c r="K18" s="59" t="s">
        <v>164</v>
      </c>
      <c r="L18" s="59" t="s">
        <v>2</v>
      </c>
      <c r="M18" s="65" t="s">
        <v>341</v>
      </c>
      <c r="N18" s="66">
        <v>1500</v>
      </c>
      <c r="O18" s="67" t="s">
        <v>32</v>
      </c>
      <c r="P18" s="68" t="s">
        <v>18</v>
      </c>
      <c r="Q18" s="10"/>
      <c r="R18" s="11"/>
      <c r="S18" s="11"/>
      <c r="T18" s="12"/>
    </row>
    <row r="19" spans="1:20" ht="27" thickBot="1" x14ac:dyDescent="0.45">
      <c r="A19" s="10" t="s">
        <v>85</v>
      </c>
      <c r="B19" s="45">
        <v>20</v>
      </c>
      <c r="C19" s="46" t="s">
        <v>6</v>
      </c>
      <c r="D19" s="47" t="s">
        <v>16</v>
      </c>
      <c r="E19" s="139" t="s">
        <v>306</v>
      </c>
      <c r="F19" s="140"/>
      <c r="G19" s="140"/>
      <c r="H19" s="140"/>
      <c r="I19" s="55" t="s">
        <v>288</v>
      </c>
      <c r="J19" s="58">
        <v>60</v>
      </c>
      <c r="K19" s="59" t="s">
        <v>164</v>
      </c>
      <c r="L19" s="59" t="s">
        <v>151</v>
      </c>
      <c r="M19" s="65" t="s">
        <v>175</v>
      </c>
      <c r="N19" s="66">
        <v>550</v>
      </c>
      <c r="O19" s="67" t="s">
        <v>32</v>
      </c>
      <c r="P19" s="68" t="s">
        <v>2</v>
      </c>
      <c r="Q19" s="13" t="s">
        <v>351</v>
      </c>
      <c r="R19" s="61">
        <f>SUM(R5:R17)</f>
        <v>3808</v>
      </c>
      <c r="S19" s="14"/>
      <c r="T19" s="15"/>
    </row>
    <row r="20" spans="1:20" x14ac:dyDescent="0.4">
      <c r="A20" s="10" t="s">
        <v>285</v>
      </c>
      <c r="B20" s="45">
        <v>20</v>
      </c>
      <c r="C20" s="46" t="s">
        <v>6</v>
      </c>
      <c r="D20" s="47" t="s">
        <v>12</v>
      </c>
      <c r="E20" s="30" t="s">
        <v>307</v>
      </c>
      <c r="F20" s="31">
        <v>25</v>
      </c>
      <c r="G20" s="32" t="s">
        <v>308</v>
      </c>
      <c r="H20" s="32" t="s">
        <v>14</v>
      </c>
      <c r="I20" s="55" t="s">
        <v>288</v>
      </c>
      <c r="J20" s="58">
        <v>60</v>
      </c>
      <c r="K20" s="59" t="s">
        <v>164</v>
      </c>
      <c r="L20" s="59" t="s">
        <v>151</v>
      </c>
      <c r="M20" s="65" t="s">
        <v>334</v>
      </c>
      <c r="N20" s="66">
        <v>20</v>
      </c>
      <c r="O20" s="67" t="s">
        <v>32</v>
      </c>
      <c r="P20" s="68" t="s">
        <v>242</v>
      </c>
    </row>
    <row r="21" spans="1:20" x14ac:dyDescent="0.4">
      <c r="A21" s="10" t="s">
        <v>288</v>
      </c>
      <c r="B21" s="45">
        <v>20</v>
      </c>
      <c r="C21" s="46" t="s">
        <v>6</v>
      </c>
      <c r="D21" s="47" t="s">
        <v>151</v>
      </c>
      <c r="E21" s="30" t="s">
        <v>265</v>
      </c>
      <c r="F21" s="31">
        <v>5131</v>
      </c>
      <c r="G21" s="32" t="s">
        <v>308</v>
      </c>
      <c r="H21" s="32" t="s">
        <v>2</v>
      </c>
      <c r="I21" s="55" t="s">
        <v>270</v>
      </c>
      <c r="J21" s="58">
        <v>40</v>
      </c>
      <c r="K21" s="59" t="s">
        <v>164</v>
      </c>
      <c r="L21" s="59" t="s">
        <v>16</v>
      </c>
      <c r="M21" s="65" t="s">
        <v>342</v>
      </c>
      <c r="N21" s="66">
        <v>70</v>
      </c>
      <c r="O21" s="67" t="s">
        <v>343</v>
      </c>
      <c r="P21" s="68" t="s">
        <v>2</v>
      </c>
    </row>
    <row r="22" spans="1:20" x14ac:dyDescent="0.4">
      <c r="A22" s="10" t="s">
        <v>286</v>
      </c>
      <c r="B22" s="45">
        <v>20</v>
      </c>
      <c r="C22" s="46" t="s">
        <v>6</v>
      </c>
      <c r="D22" s="47" t="s">
        <v>12</v>
      </c>
      <c r="E22" s="30" t="s">
        <v>269</v>
      </c>
      <c r="F22" s="31">
        <v>260</v>
      </c>
      <c r="G22" s="32" t="s">
        <v>308</v>
      </c>
      <c r="H22" s="32" t="s">
        <v>12</v>
      </c>
      <c r="I22" s="55" t="s">
        <v>268</v>
      </c>
      <c r="J22" s="58"/>
      <c r="K22" s="59" t="s">
        <v>164</v>
      </c>
      <c r="L22" s="59" t="s">
        <v>14</v>
      </c>
      <c r="M22" s="141" t="s">
        <v>347</v>
      </c>
      <c r="N22" s="142"/>
      <c r="O22" s="142"/>
      <c r="P22" s="143"/>
    </row>
    <row r="23" spans="1:20" x14ac:dyDescent="0.4">
      <c r="A23" s="10" t="s">
        <v>290</v>
      </c>
      <c r="B23" s="45">
        <v>1000</v>
      </c>
      <c r="C23" s="46" t="s">
        <v>6</v>
      </c>
      <c r="D23" s="47" t="s">
        <v>18</v>
      </c>
      <c r="E23" s="30" t="s">
        <v>288</v>
      </c>
      <c r="F23" s="31">
        <v>40</v>
      </c>
      <c r="G23" s="32" t="s">
        <v>308</v>
      </c>
      <c r="H23" s="32" t="s">
        <v>151</v>
      </c>
      <c r="I23" s="55" t="s">
        <v>324</v>
      </c>
      <c r="J23" s="58">
        <v>25</v>
      </c>
      <c r="K23" s="59" t="s">
        <v>325</v>
      </c>
      <c r="L23" s="59" t="s">
        <v>2</v>
      </c>
      <c r="M23" s="65" t="s">
        <v>265</v>
      </c>
      <c r="N23" s="66">
        <f>635+605</f>
        <v>1240</v>
      </c>
      <c r="O23" s="67" t="s">
        <v>344</v>
      </c>
      <c r="P23" s="68"/>
    </row>
    <row r="24" spans="1:20" x14ac:dyDescent="0.4">
      <c r="A24" s="111" t="s">
        <v>287</v>
      </c>
      <c r="B24" s="112"/>
      <c r="C24" s="112"/>
      <c r="D24" s="113"/>
      <c r="E24" s="30" t="s">
        <v>270</v>
      </c>
      <c r="F24" s="31">
        <v>60</v>
      </c>
      <c r="G24" s="32" t="s">
        <v>308</v>
      </c>
      <c r="H24" s="32" t="s">
        <v>16</v>
      </c>
      <c r="I24" s="55" t="s">
        <v>326</v>
      </c>
      <c r="J24" s="58">
        <v>311</v>
      </c>
      <c r="K24" s="59" t="s">
        <v>325</v>
      </c>
      <c r="L24" s="59" t="s">
        <v>2</v>
      </c>
      <c r="M24" s="141" t="s">
        <v>346</v>
      </c>
      <c r="N24" s="142"/>
      <c r="O24" s="142"/>
      <c r="P24" s="143"/>
    </row>
    <row r="25" spans="1:20" x14ac:dyDescent="0.4">
      <c r="A25" s="10" t="s">
        <v>289</v>
      </c>
      <c r="B25" s="45">
        <v>40</v>
      </c>
      <c r="C25" s="46" t="s">
        <v>225</v>
      </c>
      <c r="D25" s="47" t="s">
        <v>12</v>
      </c>
      <c r="E25" s="30" t="s">
        <v>309</v>
      </c>
      <c r="F25" s="31">
        <v>20</v>
      </c>
      <c r="G25" s="32" t="s">
        <v>308</v>
      </c>
      <c r="H25" s="32" t="s">
        <v>2</v>
      </c>
      <c r="I25" s="144" t="s">
        <v>363</v>
      </c>
      <c r="J25" s="145"/>
      <c r="K25" s="145"/>
      <c r="L25" s="145"/>
      <c r="M25" s="65" t="s">
        <v>265</v>
      </c>
      <c r="N25" s="66">
        <f>795+136</f>
        <v>931</v>
      </c>
      <c r="O25" s="67" t="s">
        <v>345</v>
      </c>
      <c r="P25" s="68"/>
    </row>
    <row r="26" spans="1:20" x14ac:dyDescent="0.4">
      <c r="A26" s="10" t="s">
        <v>175</v>
      </c>
      <c r="B26" s="45">
        <v>60</v>
      </c>
      <c r="C26" s="46" t="s">
        <v>225</v>
      </c>
      <c r="D26" s="47" t="s">
        <v>2</v>
      </c>
      <c r="E26" s="30" t="s">
        <v>311</v>
      </c>
      <c r="F26" s="31">
        <f>110+780</f>
        <v>890</v>
      </c>
      <c r="G26" s="32" t="s">
        <v>310</v>
      </c>
      <c r="H26" s="32" t="s">
        <v>2</v>
      </c>
      <c r="I26" s="55" t="s">
        <v>364</v>
      </c>
      <c r="J26" s="58">
        <v>1313</v>
      </c>
      <c r="K26" s="59" t="s">
        <v>164</v>
      </c>
      <c r="L26" s="59" t="s">
        <v>2</v>
      </c>
      <c r="M26" s="65" t="s">
        <v>348</v>
      </c>
      <c r="N26" s="66">
        <v>1500</v>
      </c>
      <c r="O26" s="67" t="s">
        <v>345</v>
      </c>
      <c r="P26" s="68" t="s">
        <v>18</v>
      </c>
    </row>
    <row r="27" spans="1:20" x14ac:dyDescent="0.4">
      <c r="A27" s="10"/>
      <c r="B27" s="11"/>
      <c r="C27" s="11"/>
      <c r="D27" s="12"/>
      <c r="E27" s="16"/>
      <c r="F27" s="17"/>
      <c r="G27" s="17"/>
      <c r="H27" s="17"/>
      <c r="I27" s="55" t="s">
        <v>365</v>
      </c>
      <c r="J27" s="58">
        <v>1076</v>
      </c>
      <c r="K27" s="59" t="s">
        <v>164</v>
      </c>
      <c r="L27" s="59" t="s">
        <v>2</v>
      </c>
      <c r="M27" s="141" t="s">
        <v>360</v>
      </c>
      <c r="N27" s="142"/>
      <c r="O27" s="142"/>
      <c r="P27" s="143"/>
    </row>
    <row r="28" spans="1:20" ht="27" thickBot="1" x14ac:dyDescent="0.45">
      <c r="A28" s="13" t="s">
        <v>279</v>
      </c>
      <c r="B28" s="61">
        <f>SUM(B5:B26)</f>
        <v>7142</v>
      </c>
      <c r="C28" s="14"/>
      <c r="D28" s="15"/>
      <c r="E28" s="19" t="s">
        <v>292</v>
      </c>
      <c r="F28" s="54">
        <f>SUM(F5:F26)</f>
        <v>11232</v>
      </c>
      <c r="G28" s="20"/>
      <c r="H28" s="20"/>
      <c r="I28" s="22"/>
      <c r="J28" s="58"/>
      <c r="K28" s="23"/>
      <c r="L28" s="23"/>
      <c r="M28" s="65" t="s">
        <v>361</v>
      </c>
      <c r="N28" s="66">
        <v>5240</v>
      </c>
      <c r="O28" s="67" t="s">
        <v>2</v>
      </c>
      <c r="P28" s="68" t="s">
        <v>2</v>
      </c>
    </row>
    <row r="29" spans="1:20" ht="27" thickBot="1" x14ac:dyDescent="0.45">
      <c r="I29" s="25" t="s">
        <v>321</v>
      </c>
      <c r="J29" s="57">
        <f>SUM(J5:J27)</f>
        <v>6033</v>
      </c>
      <c r="K29" s="26"/>
      <c r="L29" s="26"/>
      <c r="M29" s="65" t="s">
        <v>362</v>
      </c>
      <c r="N29" s="66">
        <v>6980</v>
      </c>
      <c r="O29" s="67" t="s">
        <v>2</v>
      </c>
      <c r="P29" s="68" t="s">
        <v>2</v>
      </c>
    </row>
    <row r="30" spans="1:20" x14ac:dyDescent="0.4">
      <c r="E30" s="1" t="s">
        <v>368</v>
      </c>
      <c r="F30" s="1">
        <f>B28+F28+J29+N31+R19</f>
        <v>48366</v>
      </c>
      <c r="H30" s="4"/>
      <c r="M30" s="69"/>
      <c r="N30" s="70"/>
      <c r="O30" s="70"/>
      <c r="P30" s="71"/>
    </row>
    <row r="31" spans="1:20" ht="27" thickBot="1" x14ac:dyDescent="0.45">
      <c r="M31" s="72" t="s">
        <v>328</v>
      </c>
      <c r="N31" s="73">
        <f>SUM(N4:N29)</f>
        <v>20151</v>
      </c>
      <c r="O31" s="74"/>
      <c r="P31" s="75"/>
    </row>
    <row r="32" spans="1:20" x14ac:dyDescent="0.4">
      <c r="E32" s="1" t="s">
        <v>205</v>
      </c>
      <c r="F32" s="1">
        <f>'Dragon Kingdom'!F36+'Lost Cities'!F32+'Icy Wilderness'!F16+'Volcanic Isle'!F30</f>
        <v>138548</v>
      </c>
    </row>
    <row r="33" spans="5:7" x14ac:dyDescent="0.4">
      <c r="E33" s="4"/>
      <c r="F33" s="5"/>
      <c r="G33" s="4"/>
    </row>
    <row r="65" spans="1:4" x14ac:dyDescent="0.4">
      <c r="C65" s="3"/>
      <c r="D65" s="3"/>
    </row>
    <row r="69" spans="1:4" x14ac:dyDescent="0.4">
      <c r="A69" s="146"/>
      <c r="B69" s="146"/>
      <c r="C69" s="146"/>
      <c r="D69" s="146"/>
    </row>
    <row r="72" spans="1:4" x14ac:dyDescent="0.4">
      <c r="A72" s="146"/>
      <c r="B72" s="146"/>
      <c r="C72" s="146"/>
      <c r="D72" s="146"/>
    </row>
    <row r="75" spans="1:4" x14ac:dyDescent="0.4">
      <c r="A75" s="146"/>
      <c r="B75" s="146"/>
      <c r="C75" s="146"/>
      <c r="D75" s="146"/>
    </row>
  </sheetData>
  <mergeCells count="32">
    <mergeCell ref="Q16:T16"/>
    <mergeCell ref="I25:L25"/>
    <mergeCell ref="Q4:T4"/>
    <mergeCell ref="Q6:T6"/>
    <mergeCell ref="Q8:T8"/>
    <mergeCell ref="Q11:T11"/>
    <mergeCell ref="Q13:T13"/>
    <mergeCell ref="M17:P17"/>
    <mergeCell ref="M22:P22"/>
    <mergeCell ref="M24:P24"/>
    <mergeCell ref="M27:P27"/>
    <mergeCell ref="A75:D75"/>
    <mergeCell ref="A16:D16"/>
    <mergeCell ref="A24:D24"/>
    <mergeCell ref="E19:H19"/>
    <mergeCell ref="I17:L17"/>
    <mergeCell ref="M2:P2"/>
    <mergeCell ref="A1:T1"/>
    <mergeCell ref="Q2:T2"/>
    <mergeCell ref="A69:D69"/>
    <mergeCell ref="A72:D72"/>
    <mergeCell ref="E9:H9"/>
    <mergeCell ref="E13:H13"/>
    <mergeCell ref="I15:L15"/>
    <mergeCell ref="A2:D2"/>
    <mergeCell ref="E2:H2"/>
    <mergeCell ref="I2:L2"/>
    <mergeCell ref="A4:D4"/>
    <mergeCell ref="E4:H4"/>
    <mergeCell ref="I4:L4"/>
    <mergeCell ref="M4:P4"/>
    <mergeCell ref="M12:P1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Dragon Kingdom CONDENSING</vt:lpstr>
      <vt:lpstr>Lost Cities CONDENSING</vt:lpstr>
      <vt:lpstr>Icy Wilderness CONDENSING</vt:lpstr>
      <vt:lpstr>Volcanic Isle CONDENSING</vt:lpstr>
      <vt:lpstr>Dragon Kingdom EDITING</vt:lpstr>
      <vt:lpstr>Lost Cities EDITING</vt:lpstr>
      <vt:lpstr>Icy Wilderness EDITING</vt:lpstr>
      <vt:lpstr>Volcanic Isle EDITING</vt:lpstr>
      <vt:lpstr>Dragon Kingdom</vt:lpstr>
      <vt:lpstr>Lost Cities</vt:lpstr>
      <vt:lpstr>Icy Wilderness</vt:lpstr>
      <vt:lpstr>Volcanic Isle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Stanley</dc:creator>
  <cp:lastModifiedBy>Sean Stanley</cp:lastModifiedBy>
  <dcterms:created xsi:type="dcterms:W3CDTF">2015-06-05T18:17:20Z</dcterms:created>
  <dcterms:modified xsi:type="dcterms:W3CDTF">2026-07-09T07:41:30Z</dcterms:modified>
</cp:coreProperties>
</file>