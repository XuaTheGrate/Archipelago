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Sean\Downloads\Archipelago Stuff\.apworlds\PhoenixAP\worlds\spyro_aht\setup\"/>
    </mc:Choice>
  </mc:AlternateContent>
  <xr:revisionPtr revIDLastSave="0" documentId="13_ncr:1_{EDE3DC2F-14B0-45D2-9B87-488D855BD206}" xr6:coauthVersionLast="47" xr6:coauthVersionMax="47" xr10:uidLastSave="{00000000-0000-0000-0000-000000000000}"/>
  <bookViews>
    <workbookView xWindow="-120" yWindow="-120" windowWidth="38640" windowHeight="21240" tabRatio="697" activeTab="1" xr2:uid="{00000000-000D-0000-FFFF-FFFF00000000}"/>
  </bookViews>
  <sheets>
    <sheet name="New Gems (simplified per-rule)" sheetId="14" r:id="rId1"/>
    <sheet name="New Gems (simplified per region" sheetId="16" r:id="rId2"/>
    <sheet name="Dragon Kingdom CONDENSING" sheetId="10" r:id="rId3"/>
    <sheet name="Lost Cities CONDENSING" sheetId="11" r:id="rId4"/>
    <sheet name="Icy Wilderness CONDENSING" sheetId="12" r:id="rId5"/>
    <sheet name="Volcanic Isle CONDENSING" sheetId="13" r:id="rId6"/>
    <sheet name="Dragon Kingdom EDITING" sheetId="5" r:id="rId7"/>
    <sheet name="Lost Cities EDITING" sheetId="7" r:id="rId8"/>
    <sheet name="Icy Wilderness EDITING" sheetId="8" r:id="rId9"/>
    <sheet name="Volcanic Isle EDITING" sheetId="9" r:id="rId10"/>
    <sheet name="Dragon Kingdom" sheetId="1" r:id="rId11"/>
    <sheet name="Lost Cities" sheetId="2" r:id="rId12"/>
    <sheet name="Icy Wilderness" sheetId="3" r:id="rId13"/>
    <sheet name="Volcanic Isle" sheetId="4"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5" i="16" l="1"/>
  <c r="B554" i="16"/>
  <c r="B535" i="16"/>
  <c r="B527" i="16"/>
  <c r="B520" i="16"/>
  <c r="B519" i="16"/>
  <c r="B512" i="16"/>
  <c r="B467" i="16"/>
  <c r="B450" i="16"/>
  <c r="B445" i="16"/>
  <c r="B448" i="16"/>
  <c r="B439" i="16"/>
  <c r="B436" i="16"/>
  <c r="B431" i="16"/>
  <c r="B422" i="16"/>
  <c r="B391" i="16"/>
  <c r="B375" i="16"/>
  <c r="B339" i="16"/>
  <c r="B343" i="16"/>
  <c r="B294" i="16"/>
  <c r="B273" i="16"/>
  <c r="B260" i="16"/>
  <c r="B259" i="16"/>
  <c r="B249" i="16"/>
  <c r="B247" i="16"/>
  <c r="B245" i="16"/>
  <c r="B210" i="16"/>
  <c r="B207" i="16"/>
  <c r="B195" i="16"/>
  <c r="B192" i="16"/>
  <c r="B186" i="16"/>
  <c r="B172" i="16"/>
  <c r="B804" i="14"/>
  <c r="B160" i="16"/>
  <c r="B150" i="16"/>
  <c r="B140" i="16"/>
  <c r="B131" i="16"/>
  <c r="B126" i="16"/>
  <c r="B96" i="16"/>
  <c r="B79" i="16"/>
  <c r="B73" i="16"/>
  <c r="B62" i="16"/>
  <c r="B38" i="16"/>
  <c r="B31" i="16"/>
  <c r="B18" i="16"/>
  <c r="B15" i="16"/>
  <c r="B14" i="16"/>
  <c r="B8" i="16"/>
  <c r="B285" i="16"/>
  <c r="B241" i="16"/>
  <c r="B330" i="14"/>
  <c r="B403" i="14"/>
  <c r="B133" i="14"/>
  <c r="F30" i="13"/>
  <c r="J20" i="10"/>
  <c r="F32" i="13"/>
  <c r="F31" i="13"/>
  <c r="N30" i="13"/>
  <c r="O25" i="13"/>
  <c r="J23" i="13"/>
  <c r="J33" i="11"/>
  <c r="L25" i="11"/>
  <c r="F28" i="11"/>
  <c r="F21" i="10"/>
  <c r="B30" i="10"/>
  <c r="N5" i="13"/>
  <c r="N24" i="13"/>
  <c r="J20" i="13"/>
  <c r="F17" i="13"/>
  <c r="G18" i="13" s="1"/>
  <c r="J28" i="12"/>
  <c r="F6" i="12"/>
  <c r="F8" i="12" s="1"/>
  <c r="B19" i="12"/>
  <c r="J13" i="11"/>
  <c r="C17" i="10"/>
  <c r="B42" i="11"/>
  <c r="J10" i="10"/>
  <c r="F13" i="10"/>
  <c r="J31" i="11"/>
  <c r="K32" i="11" s="1"/>
  <c r="K21" i="11"/>
  <c r="C37" i="11"/>
  <c r="C41" i="12"/>
  <c r="B32" i="12"/>
  <c r="C33" i="12" s="1"/>
  <c r="B43" i="12"/>
  <c r="C45" i="12" s="1"/>
  <c r="C36" i="12"/>
  <c r="C42" i="8"/>
  <c r="N12" i="13"/>
  <c r="O15" i="13" s="1"/>
  <c r="J21" i="13"/>
  <c r="F20" i="13"/>
  <c r="F24" i="13"/>
  <c r="N27" i="13"/>
  <c r="O29" i="13" s="1"/>
  <c r="C27" i="13"/>
  <c r="O21" i="13"/>
  <c r="S20" i="13"/>
  <c r="K15" i="13"/>
  <c r="B22" i="13"/>
  <c r="B28" i="13" s="1"/>
  <c r="C16" i="13"/>
  <c r="R15" i="13"/>
  <c r="S17" i="13" s="1"/>
  <c r="S13" i="13"/>
  <c r="S10" i="13"/>
  <c r="G9" i="13"/>
  <c r="S6" i="13"/>
  <c r="J11" i="13"/>
  <c r="K12" i="13" s="1"/>
  <c r="J29" i="12"/>
  <c r="A29" i="12"/>
  <c r="B16" i="12"/>
  <c r="J36" i="12"/>
  <c r="K34" i="12"/>
  <c r="C28" i="12"/>
  <c r="J23" i="12"/>
  <c r="K19" i="12"/>
  <c r="K12" i="12"/>
  <c r="C12" i="12"/>
  <c r="C7" i="12"/>
  <c r="J9" i="11"/>
  <c r="F25" i="11"/>
  <c r="G27" i="11" s="1"/>
  <c r="C45" i="11"/>
  <c r="B18" i="11"/>
  <c r="C19" i="11" s="1"/>
  <c r="C48" i="11"/>
  <c r="C30" i="11"/>
  <c r="J27" i="11"/>
  <c r="K29" i="11" s="1"/>
  <c r="K25" i="11"/>
  <c r="G23" i="11"/>
  <c r="G17" i="11"/>
  <c r="B10" i="11"/>
  <c r="G9" i="11"/>
  <c r="K7" i="11"/>
  <c r="B6" i="11"/>
  <c r="J18" i="10"/>
  <c r="K19" i="10" s="1"/>
  <c r="J5" i="10"/>
  <c r="F7" i="10"/>
  <c r="F10" i="10"/>
  <c r="B23" i="10"/>
  <c r="C24" i="10" s="1"/>
  <c r="B27" i="10"/>
  <c r="G20" i="10"/>
  <c r="C10" i="10"/>
  <c r="B7" i="7"/>
  <c r="B12" i="7"/>
  <c r="G21" i="9"/>
  <c r="G12" i="8"/>
  <c r="A32" i="8"/>
  <c r="C59" i="7"/>
  <c r="S6" i="9"/>
  <c r="S20" i="9"/>
  <c r="S13" i="9"/>
  <c r="S10" i="9"/>
  <c r="N5" i="9"/>
  <c r="O11" i="9" s="1"/>
  <c r="G9" i="9"/>
  <c r="O23" i="9"/>
  <c r="O17" i="9"/>
  <c r="K29" i="9"/>
  <c r="K18" i="9"/>
  <c r="C16" i="9"/>
  <c r="C29" i="9"/>
  <c r="F29" i="9"/>
  <c r="F31" i="9" s="1"/>
  <c r="N30" i="9"/>
  <c r="O32" i="9" s="1"/>
  <c r="O28" i="9"/>
  <c r="B18" i="9"/>
  <c r="B30" i="9" s="1"/>
  <c r="R15" i="9"/>
  <c r="R21" i="9" s="1"/>
  <c r="J5" i="9"/>
  <c r="J30" i="9" s="1"/>
  <c r="C48" i="8"/>
  <c r="C31" i="8"/>
  <c r="C23" i="8"/>
  <c r="B59" i="8"/>
  <c r="B91" i="8" s="1"/>
  <c r="C38" i="8"/>
  <c r="D42" i="8" s="1"/>
  <c r="C58" i="8"/>
  <c r="C53" i="8"/>
  <c r="K12" i="8"/>
  <c r="K39" i="8"/>
  <c r="K20" i="8"/>
  <c r="C7" i="8"/>
  <c r="C12" i="8"/>
  <c r="J41" i="8"/>
  <c r="J27" i="8"/>
  <c r="J22" i="8"/>
  <c r="F13" i="8"/>
  <c r="G9" i="7"/>
  <c r="G25" i="7"/>
  <c r="G30" i="7"/>
  <c r="G18" i="7"/>
  <c r="C29" i="7"/>
  <c r="K29" i="7"/>
  <c r="K7" i="7"/>
  <c r="C56" i="7"/>
  <c r="C46" i="7"/>
  <c r="C40" i="7"/>
  <c r="K26" i="5"/>
  <c r="G29" i="5"/>
  <c r="G20" i="5"/>
  <c r="C31" i="5"/>
  <c r="C21" i="5"/>
  <c r="B60" i="7"/>
  <c r="J36" i="7"/>
  <c r="K37" i="7" s="1"/>
  <c r="J31" i="7"/>
  <c r="K34" i="7" s="1"/>
  <c r="F31" i="7"/>
  <c r="J17" i="7"/>
  <c r="J14" i="5"/>
  <c r="K19" i="5" s="1"/>
  <c r="C10" i="5"/>
  <c r="F30" i="5"/>
  <c r="B34" i="5"/>
  <c r="B37" i="5" s="1"/>
  <c r="B50" i="3"/>
  <c r="A1" i="4"/>
  <c r="F30" i="4"/>
  <c r="R19" i="4"/>
  <c r="A1" i="1"/>
  <c r="J29" i="4"/>
  <c r="F14" i="3"/>
  <c r="B58" i="2"/>
  <c r="F34" i="1"/>
  <c r="R14" i="4"/>
  <c r="N25" i="4"/>
  <c r="N23" i="4"/>
  <c r="N5" i="4"/>
  <c r="N31" i="4" s="1"/>
  <c r="J5" i="4"/>
  <c r="F26" i="4"/>
  <c r="F28" i="4" s="1"/>
  <c r="B17" i="4"/>
  <c r="B28" i="4" s="1"/>
  <c r="J32" i="3"/>
  <c r="J30" i="3"/>
  <c r="J20" i="3"/>
  <c r="J25" i="3"/>
  <c r="J34" i="2"/>
  <c r="J30" i="2"/>
  <c r="J19" i="2"/>
  <c r="J39" i="2" s="1"/>
  <c r="F30" i="2"/>
  <c r="J22" i="1"/>
  <c r="J29" i="1" s="1"/>
  <c r="B33" i="1"/>
  <c r="B35" i="1" s="1"/>
  <c r="B584" i="16" l="1"/>
  <c r="B586" i="16" s="1"/>
  <c r="B802" i="14"/>
  <c r="M3" i="14" s="1"/>
  <c r="M5" i="14" s="1"/>
  <c r="F34" i="13"/>
  <c r="G7" i="12"/>
  <c r="K22" i="13"/>
  <c r="K17" i="11"/>
  <c r="L17" i="11" s="1"/>
  <c r="L21" i="11" s="1"/>
  <c r="F26" i="13"/>
  <c r="T10" i="13"/>
  <c r="T13" i="13" s="1"/>
  <c r="T17" i="13" s="1"/>
  <c r="T20" i="13" s="1"/>
  <c r="H18" i="13"/>
  <c r="C23" i="13"/>
  <c r="D23" i="13" s="1"/>
  <c r="D27" i="13" s="1"/>
  <c r="L15" i="13"/>
  <c r="G25" i="13"/>
  <c r="R21" i="13"/>
  <c r="O10" i="13"/>
  <c r="P15" i="13" s="1"/>
  <c r="P21" i="13" s="1"/>
  <c r="P25" i="13" s="1"/>
  <c r="P29" i="13" s="1"/>
  <c r="D36" i="12"/>
  <c r="D41" i="12" s="1"/>
  <c r="B46" i="12"/>
  <c r="B78" i="12" s="1"/>
  <c r="C20" i="12"/>
  <c r="K30" i="12"/>
  <c r="L19" i="12"/>
  <c r="D12" i="12"/>
  <c r="J38" i="12"/>
  <c r="J79" i="12" s="1"/>
  <c r="H17" i="11"/>
  <c r="H23" i="11" s="1"/>
  <c r="H27" i="11" s="1"/>
  <c r="B49" i="11"/>
  <c r="C14" i="11"/>
  <c r="D19" i="11" s="1"/>
  <c r="D30" i="11" s="1"/>
  <c r="D37" i="11" s="1"/>
  <c r="D45" i="11" s="1"/>
  <c r="D48" i="11" s="1"/>
  <c r="K13" i="10"/>
  <c r="L19" i="10" s="1"/>
  <c r="G14" i="10"/>
  <c r="H20" i="10" s="1"/>
  <c r="D17" i="10"/>
  <c r="D24" i="10" s="1"/>
  <c r="C29" i="10"/>
  <c r="C17" i="7"/>
  <c r="S17" i="9"/>
  <c r="H29" i="5"/>
  <c r="L26" i="5"/>
  <c r="H18" i="7"/>
  <c r="H25" i="7" s="1"/>
  <c r="H30" i="7" s="1"/>
  <c r="D21" i="5"/>
  <c r="D31" i="5" s="1"/>
  <c r="J27" i="5"/>
  <c r="F32" i="5" s="1"/>
  <c r="A1" i="5" s="1"/>
  <c r="C36" i="5"/>
  <c r="T10" i="9"/>
  <c r="T13" i="9" s="1"/>
  <c r="T17" i="9" s="1"/>
  <c r="T20" i="9" s="1"/>
  <c r="P17" i="9"/>
  <c r="P23" i="9" s="1"/>
  <c r="P28" i="9" s="1"/>
  <c r="P32" i="9" s="1"/>
  <c r="K15" i="9"/>
  <c r="L18" i="9" s="1"/>
  <c r="L29" i="9" s="1"/>
  <c r="H21" i="9"/>
  <c r="G30" i="9"/>
  <c r="C25" i="9"/>
  <c r="D25" i="9" s="1"/>
  <c r="D29" i="9" s="1"/>
  <c r="N33" i="9"/>
  <c r="F33" i="9" s="1"/>
  <c r="L20" i="8"/>
  <c r="K35" i="8"/>
  <c r="D12" i="8"/>
  <c r="D23" i="8" s="1"/>
  <c r="J43" i="8"/>
  <c r="F15" i="8" s="1"/>
  <c r="A1" i="8" s="1"/>
  <c r="D29" i="7"/>
  <c r="D40" i="7" s="1"/>
  <c r="D46" i="7" s="1"/>
  <c r="D56" i="7" s="1"/>
  <c r="D59" i="7" s="1"/>
  <c r="F32" i="2"/>
  <c r="A1" i="2" s="1"/>
  <c r="J38" i="7"/>
  <c r="F33" i="7" s="1"/>
  <c r="A1" i="7" s="1"/>
  <c r="J37" i="3"/>
  <c r="J78" i="3" s="1"/>
  <c r="F36" i="1"/>
  <c r="L22" i="13" l="1"/>
  <c r="D20" i="12"/>
  <c r="D28" i="12" s="1"/>
  <c r="L29" i="11"/>
  <c r="L32" i="11" s="1"/>
  <c r="D45" i="12"/>
  <c r="B80" i="12"/>
  <c r="B81" i="12" s="1"/>
  <c r="H25" i="13"/>
  <c r="F28" i="13"/>
  <c r="L30" i="12"/>
  <c r="L34" i="12" s="1"/>
  <c r="K37" i="12" s="1"/>
  <c r="F10" i="12"/>
  <c r="A1" i="12" s="1"/>
  <c r="F30" i="11"/>
  <c r="A1" i="11" s="1"/>
  <c r="D29" i="10"/>
  <c r="F23" i="10"/>
  <c r="D36" i="5"/>
  <c r="H30" i="9"/>
  <c r="F35" i="9"/>
  <c r="A1" i="9"/>
  <c r="D31" i="8"/>
  <c r="D48" i="8"/>
  <c r="D53" i="8" s="1"/>
  <c r="D58" i="8" s="1"/>
  <c r="L35" i="8"/>
  <c r="L39" i="8" s="1"/>
  <c r="K42" i="8" s="1"/>
  <c r="J84" i="8"/>
  <c r="B93" i="8" s="1"/>
  <c r="B94" i="8" s="1"/>
  <c r="K25" i="7"/>
  <c r="L25" i="7" s="1"/>
  <c r="L29" i="7" s="1"/>
  <c r="L34" i="7" s="1"/>
  <c r="L37" i="7" s="1"/>
  <c r="F16" i="3"/>
  <c r="A1" i="3" s="1"/>
  <c r="B82" i="3"/>
  <c r="B84" i="3" s="1"/>
  <c r="B85" i="3" s="1"/>
  <c r="A1" i="10" l="1"/>
  <c r="F35" i="13"/>
  <c r="F37" i="13" s="1"/>
  <c r="F36" i="13" s="1"/>
  <c r="A1" i="13"/>
  <c r="F3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A1" authorId="0" shapeId="0" xr:uid="{B761460F-431C-49AA-9DC6-EEC13AE73BA1}">
      <text>
        <r>
          <rPr>
            <b/>
            <sz val="9"/>
            <color indexed="81"/>
            <rFont val="Tahoma"/>
            <family val="2"/>
          </rPr>
          <t>Sean Stanley:</t>
        </r>
        <r>
          <rPr>
            <sz val="9"/>
            <color indexed="81"/>
            <rFont val="Tahoma"/>
            <family val="2"/>
          </rPr>
          <t xml:space="preserve">
missed 25 compared to first gem research</t>
        </r>
      </text>
    </comment>
    <comment ref="B49" authorId="0" shapeId="0" xr:uid="{F54B7604-3EE5-4405-AF3C-F13706FD02B8}">
      <text>
        <r>
          <rPr>
            <b/>
            <sz val="9"/>
            <color indexed="81"/>
            <rFont val="Tahoma"/>
            <family val="2"/>
          </rPr>
          <t>Sean Stanley:</t>
        </r>
        <r>
          <rPr>
            <sz val="9"/>
            <color indexed="81"/>
            <rFont val="Tahoma"/>
            <family val="2"/>
          </rPr>
          <t xml:space="preserve">
15 each?</t>
        </r>
      </text>
    </comment>
    <comment ref="B50" authorId="0" shapeId="0" xr:uid="{932CF89D-73C7-4921-9318-D308BD3AEFAE}">
      <text>
        <r>
          <rPr>
            <b/>
            <sz val="9"/>
            <color indexed="81"/>
            <rFont val="Tahoma"/>
            <family val="2"/>
          </rPr>
          <t>Sean Stanley:</t>
        </r>
        <r>
          <rPr>
            <sz val="9"/>
            <color indexed="81"/>
            <rFont val="Tahoma"/>
            <family val="2"/>
          </rPr>
          <t xml:space="preserve">
15 each? 1 gave 16?</t>
        </r>
      </text>
    </comment>
    <comment ref="B135" authorId="0" shapeId="0" xr:uid="{034479D0-B95A-4A48-98CA-5811DD968475}">
      <text>
        <r>
          <rPr>
            <b/>
            <sz val="9"/>
            <color indexed="81"/>
            <rFont val="Tahoma"/>
            <charset val="1"/>
          </rPr>
          <t>Sean Stanley:</t>
        </r>
        <r>
          <rPr>
            <sz val="9"/>
            <color indexed="81"/>
            <rFont val="Tahoma"/>
            <charset val="1"/>
          </rPr>
          <t xml:space="preserve">
check if one actually gave 25? Or was it mismarked?</t>
        </r>
      </text>
    </comment>
    <comment ref="A156" authorId="0" shapeId="0" xr:uid="{D44F6902-7C83-46F5-A138-0114BE7E4FAC}">
      <text>
        <r>
          <rPr>
            <b/>
            <sz val="9"/>
            <color indexed="81"/>
            <rFont val="Tahoma"/>
            <charset val="1"/>
          </rPr>
          <t>Sean Stanley:</t>
        </r>
        <r>
          <rPr>
            <sz val="9"/>
            <color indexed="81"/>
            <rFont val="Tahoma"/>
            <charset val="1"/>
          </rPr>
          <t xml:space="preserve">
missed 20 compared to first gem research. Would've been somewhere before Otto's pool</t>
        </r>
      </text>
    </comment>
    <comment ref="A364" authorId="0" shapeId="0" xr:uid="{811DF1D8-C3D9-4AC2-B5DA-1349422CDB2C}">
      <text>
        <r>
          <rPr>
            <b/>
            <sz val="9"/>
            <color indexed="81"/>
            <rFont val="Tahoma"/>
            <family val="2"/>
          </rPr>
          <t>Sean Stanley:</t>
        </r>
        <r>
          <rPr>
            <sz val="9"/>
            <color indexed="81"/>
            <rFont val="Tahoma"/>
            <family val="2"/>
          </rPr>
          <t xml:space="preserve">
58 over compared to first research. Mostly explained by eskimole in platform room and likely a rock somewhere?</t>
        </r>
      </text>
    </comment>
    <comment ref="A438" authorId="0" shapeId="0" xr:uid="{8F0F26A4-BEE8-42FB-9584-B4C9A2EE82B0}">
      <text>
        <r>
          <rPr>
            <b/>
            <sz val="9"/>
            <color indexed="81"/>
            <rFont val="Tahoma"/>
            <family val="2"/>
          </rPr>
          <t>Sean Stanley:</t>
        </r>
        <r>
          <rPr>
            <sz val="9"/>
            <color indexed="81"/>
            <rFont val="Tahoma"/>
            <family val="2"/>
          </rPr>
          <t xml:space="preserve">
13 extra compared to first research. Almost certainly from dumb yeti</t>
        </r>
      </text>
    </comment>
    <comment ref="A445" authorId="0" shapeId="0" xr:uid="{7D032221-99B8-41B1-AFE0-1620FA269B16}">
      <text>
        <r>
          <rPr>
            <b/>
            <sz val="9"/>
            <color indexed="81"/>
            <rFont val="Tahoma"/>
            <charset val="1"/>
          </rPr>
          <t>Sean Stanley:</t>
        </r>
        <r>
          <rPr>
            <sz val="9"/>
            <color indexed="81"/>
            <rFont val="Tahoma"/>
            <charset val="1"/>
          </rPr>
          <t xml:space="preserve">
GGBentleyToSkeletons</t>
        </r>
      </text>
    </comment>
    <comment ref="A446" authorId="0" shapeId="0" xr:uid="{444D9B0E-DCBD-4DA0-9133-FE261B6E6039}">
      <text>
        <r>
          <rPr>
            <b/>
            <sz val="9"/>
            <color indexed="81"/>
            <rFont val="Tahoma"/>
            <charset val="1"/>
          </rPr>
          <t>Sean Stanley:</t>
        </r>
        <r>
          <rPr>
            <sz val="9"/>
            <color indexed="81"/>
            <rFont val="Tahoma"/>
            <charset val="1"/>
          </rPr>
          <t xml:space="preserve">
GGBentleyToSkeletons</t>
        </r>
      </text>
    </comment>
    <comment ref="A447" authorId="0" shapeId="0" xr:uid="{63A2120D-36BD-44F0-9BEC-FF9FF2704F80}">
      <text>
        <r>
          <rPr>
            <b/>
            <sz val="9"/>
            <color indexed="81"/>
            <rFont val="Tahoma"/>
            <charset val="1"/>
          </rPr>
          <t>Sean Stanley:</t>
        </r>
        <r>
          <rPr>
            <sz val="9"/>
            <color indexed="81"/>
            <rFont val="Tahoma"/>
            <charset val="1"/>
          </rPr>
          <t xml:space="preserve">
GGBentleyToSkeletons</t>
        </r>
      </text>
    </comment>
    <comment ref="A448" authorId="0" shapeId="0" xr:uid="{84C14865-802F-4518-BEF5-D7CC214131CC}">
      <text>
        <r>
          <rPr>
            <b/>
            <sz val="9"/>
            <color indexed="81"/>
            <rFont val="Tahoma"/>
            <charset val="1"/>
          </rPr>
          <t>Sean Stanley:</t>
        </r>
        <r>
          <rPr>
            <sz val="9"/>
            <color indexed="81"/>
            <rFont val="Tahoma"/>
            <charset val="1"/>
          </rPr>
          <t xml:space="preserve">
GGBentleyToSkeletons</t>
        </r>
      </text>
    </comment>
    <comment ref="A449" authorId="0" shapeId="0" xr:uid="{C7D2F59B-C726-4B68-8B8B-4217BCB4250A}">
      <text>
        <r>
          <rPr>
            <b/>
            <sz val="9"/>
            <color indexed="81"/>
            <rFont val="Tahoma"/>
            <charset val="1"/>
          </rPr>
          <t>Sean Stanley:</t>
        </r>
        <r>
          <rPr>
            <sz val="9"/>
            <color indexed="81"/>
            <rFont val="Tahoma"/>
            <charset val="1"/>
          </rPr>
          <t xml:space="preserve">
GGBentleyToSkeletons</t>
        </r>
      </text>
    </comment>
    <comment ref="A450" authorId="0" shapeId="0" xr:uid="{2BE9C0DC-BC11-4477-AB40-D86DC4560A1E}">
      <text>
        <r>
          <rPr>
            <b/>
            <sz val="9"/>
            <color indexed="81"/>
            <rFont val="Tahoma"/>
            <charset val="1"/>
          </rPr>
          <t>Sean Stanley:</t>
        </r>
        <r>
          <rPr>
            <sz val="9"/>
            <color indexed="81"/>
            <rFont val="Tahoma"/>
            <charset val="1"/>
          </rPr>
          <t xml:space="preserve">
GGBentleyToSkeletons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A1" authorId="0" shapeId="0" xr:uid="{16599ED0-E3E5-4A57-91F9-0E71BA1AE468}">
      <text>
        <r>
          <rPr>
            <b/>
            <sz val="9"/>
            <color indexed="81"/>
            <rFont val="Tahoma"/>
            <family val="2"/>
          </rPr>
          <t>Sean Stanley:</t>
        </r>
        <r>
          <rPr>
            <sz val="9"/>
            <color indexed="81"/>
            <rFont val="Tahoma"/>
            <family val="2"/>
          </rPr>
          <t xml:space="preserve">
missed 25 compared to first gem research</t>
        </r>
      </text>
    </comment>
    <comment ref="B33" authorId="0" shapeId="0" xr:uid="{70AD09E3-290C-4FA0-9157-C094D0490631}">
      <text>
        <r>
          <rPr>
            <b/>
            <sz val="9"/>
            <color indexed="81"/>
            <rFont val="Tahoma"/>
            <family val="2"/>
          </rPr>
          <t>Sean Stanley:</t>
        </r>
        <r>
          <rPr>
            <sz val="9"/>
            <color indexed="81"/>
            <rFont val="Tahoma"/>
            <family val="2"/>
          </rPr>
          <t xml:space="preserve">
15 each?</t>
        </r>
      </text>
    </comment>
    <comment ref="A113" authorId="0" shapeId="0" xr:uid="{9BBC0DA4-657E-4A56-A4EC-A8B231BEE102}">
      <text>
        <r>
          <rPr>
            <b/>
            <sz val="9"/>
            <color indexed="81"/>
            <rFont val="Tahoma"/>
            <charset val="1"/>
          </rPr>
          <t>Sean Stanley:</t>
        </r>
        <r>
          <rPr>
            <sz val="9"/>
            <color indexed="81"/>
            <rFont val="Tahoma"/>
            <charset val="1"/>
          </rPr>
          <t xml:space="preserve">
missed 20 compared to first gem research. Would've been somewhere before Otto's pool</t>
        </r>
      </text>
    </comment>
    <comment ref="A261" authorId="0" shapeId="0" xr:uid="{218C9C4F-0365-47A2-A53C-A53034DE9BFA}">
      <text>
        <r>
          <rPr>
            <b/>
            <sz val="9"/>
            <color indexed="81"/>
            <rFont val="Tahoma"/>
            <family val="2"/>
          </rPr>
          <t>Sean Stanley:</t>
        </r>
        <r>
          <rPr>
            <sz val="9"/>
            <color indexed="81"/>
            <rFont val="Tahoma"/>
            <family val="2"/>
          </rPr>
          <t xml:space="preserve">
58 over compared to first research. Mostly explained by eskimole in platform room and likely a rock somewhere?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08BCDDC1-B0DE-4BF5-BDD4-135CD9611F05}">
      <text>
        <r>
          <rPr>
            <b/>
            <sz val="9"/>
            <color indexed="81"/>
            <rFont val="Tahoma"/>
            <charset val="1"/>
          </rPr>
          <t>Sean Stanley:</t>
        </r>
        <r>
          <rPr>
            <sz val="9"/>
            <color indexed="81"/>
            <rFont val="Tahoma"/>
            <charset val="1"/>
          </rPr>
          <t xml:space="preserve">
</t>
        </r>
      </text>
    </comment>
    <comment ref="L6" authorId="0" shapeId="0" xr:uid="{CEFF3ABC-613B-4FCA-84BD-1160A6F729E0}">
      <text>
        <r>
          <rPr>
            <b/>
            <sz val="9"/>
            <color indexed="81"/>
            <rFont val="Tahoma"/>
            <family val="2"/>
          </rPr>
          <t>Sean Stanley:</t>
        </r>
        <r>
          <rPr>
            <sz val="9"/>
            <color indexed="81"/>
            <rFont val="Tahoma"/>
            <family val="2"/>
          </rPr>
          <t xml:space="preserve">
Ice + Charge worsk but is a bit glitchy? Or finicky</t>
        </r>
      </text>
    </comment>
    <comment ref="E9" authorId="0" shapeId="0" xr:uid="{3175E118-7BB7-405D-9A0D-E00082136519}">
      <text>
        <r>
          <rPr>
            <b/>
            <sz val="9"/>
            <color indexed="81"/>
            <rFont val="Tahoma"/>
            <family val="2"/>
          </rPr>
          <t>Sean Stanley:</t>
        </r>
        <r>
          <rPr>
            <sz val="9"/>
            <color indexed="81"/>
            <rFont val="Tahoma"/>
            <family val="2"/>
          </rPr>
          <t xml:space="preserve">
huge gnorcs in debris cave very hard to get all 40 gems from</t>
        </r>
      </text>
    </comment>
    <comment ref="H11" authorId="0" shapeId="0" xr:uid="{D1DD4830-1076-4E46-A024-5B284CEDFA25}">
      <text>
        <r>
          <rPr>
            <b/>
            <sz val="9"/>
            <color indexed="81"/>
            <rFont val="Tahoma"/>
            <family val="2"/>
          </rPr>
          <t>Sean Stanley:</t>
        </r>
        <r>
          <rPr>
            <sz val="9"/>
            <color indexed="81"/>
            <rFont val="Tahoma"/>
            <family val="2"/>
          </rPr>
          <t xml:space="preserve">
Glide is here because you can get to the chests without glide but need glide to get the gems from them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BEA8863E-E155-4ECF-AA8E-8539FCABADA0}">
      <text>
        <r>
          <rPr>
            <b/>
            <sz val="9"/>
            <color indexed="81"/>
            <rFont val="Tahoma"/>
            <charset val="1"/>
          </rPr>
          <t>Sean Stanley:</t>
        </r>
        <r>
          <rPr>
            <sz val="9"/>
            <color indexed="81"/>
            <rFont val="Tahoma"/>
            <charset val="1"/>
          </rPr>
          <t xml:space="preserve">
</t>
        </r>
      </text>
    </comment>
    <comment ref="E4" authorId="0" shapeId="0" xr:uid="{E43694EC-B8F1-45DF-994C-57A02DB5DDFF}">
      <text>
        <r>
          <rPr>
            <b/>
            <sz val="9"/>
            <color indexed="81"/>
            <rFont val="Tahoma"/>
            <family val="2"/>
          </rPr>
          <t>Sean Stanley:</t>
        </r>
        <r>
          <rPr>
            <sz val="9"/>
            <color indexed="81"/>
            <rFont val="Tahoma"/>
            <family val="2"/>
          </rPr>
          <t xml:space="preserve">
to include elder check when made into actual region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A37979C8-0D92-44BE-878F-516F78032869}">
      <text>
        <r>
          <rPr>
            <b/>
            <sz val="9"/>
            <color indexed="81"/>
            <rFont val="Tahoma"/>
            <charset val="1"/>
          </rPr>
          <t>Sean Stanley:</t>
        </r>
        <r>
          <rPr>
            <sz val="9"/>
            <color indexed="81"/>
            <rFont val="Tahoma"/>
            <charset val="1"/>
          </rPr>
          <t xml:space="preserve">
suuuuuper unsure of parts of this.</t>
        </r>
      </text>
    </comment>
    <comment ref="E4" authorId="0" shapeId="0" xr:uid="{BAA8C530-BBC7-4813-ACDE-C70F957CF3A5}">
      <text>
        <r>
          <rPr>
            <b/>
            <sz val="9"/>
            <color indexed="81"/>
            <rFont val="Tahoma"/>
            <family val="2"/>
          </rPr>
          <t>Sean Stanley:</t>
        </r>
        <r>
          <rPr>
            <sz val="9"/>
            <color indexed="81"/>
            <rFont val="Tahoma"/>
            <family val="2"/>
          </rPr>
          <t xml:space="preserve">
messy gem amounts from yeti. Was 9 short on test</t>
        </r>
      </text>
    </comment>
    <comment ref="F6" authorId="0" shapeId="0" xr:uid="{2966C503-F135-4A6C-ACA0-EC094544556A}">
      <text>
        <r>
          <rPr>
            <b/>
            <sz val="9"/>
            <color indexed="81"/>
            <rFont val="Tahoma"/>
            <family val="2"/>
          </rPr>
          <t>Sean Stanley:</t>
        </r>
        <r>
          <rPr>
            <sz val="9"/>
            <color indexed="81"/>
            <rFont val="Tahoma"/>
            <family val="2"/>
          </rPr>
          <t xml:space="preserve">
average of 3 was 1079.67. seems pretty consistent</t>
        </r>
      </text>
    </comment>
    <comment ref="A8" authorId="0" shapeId="0" xr:uid="{21651613-0BE3-4CBB-8D96-706805015C67}">
      <text>
        <r>
          <rPr>
            <b/>
            <sz val="9"/>
            <color indexed="81"/>
            <rFont val="Tahoma"/>
            <family val="2"/>
          </rPr>
          <t>Sean Stanley:</t>
        </r>
        <r>
          <rPr>
            <sz val="9"/>
            <color indexed="81"/>
            <rFont val="Tahoma"/>
            <family val="2"/>
          </rPr>
          <t xml:space="preserve">
charge is not needed for time challenge. Can also get one in fountain with a single jump</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Q4" authorId="0" shapeId="0" xr:uid="{195C990B-DB8C-48E3-B39C-B27C12DE1842}">
      <text>
        <r>
          <rPr>
            <b/>
            <sz val="9"/>
            <color indexed="81"/>
            <rFont val="Tahoma"/>
            <family val="2"/>
          </rPr>
          <t>Sean Stanley:</t>
        </r>
        <r>
          <rPr>
            <sz val="9"/>
            <color indexed="81"/>
            <rFont val="Tahoma"/>
            <family val="2"/>
          </rPr>
          <t xml:space="preserve">
separated just in case this wants to be considered part of dark mine. Doesn't matter, it's all accessible together at this point in the game</t>
        </r>
      </text>
    </comment>
    <comment ref="E10" authorId="0" shapeId="0" xr:uid="{C24F5B8D-BCF9-479F-9A99-065152EE2444}">
      <text>
        <r>
          <rPr>
            <b/>
            <sz val="9"/>
            <color indexed="81"/>
            <rFont val="Tahoma"/>
            <family val="2"/>
          </rPr>
          <t>Sean Stanley:</t>
        </r>
        <r>
          <rPr>
            <sz val="9"/>
            <color indexed="81"/>
            <rFont val="Tahoma"/>
            <family val="2"/>
          </rPr>
          <t xml:space="preserve">
enemy kill options involving ice still listed as that here since Ice is not strictly required</t>
        </r>
      </text>
    </comment>
    <comment ref="N19" authorId="0" shapeId="0" xr:uid="{D0E34EF0-3DB8-4B9F-9549-F8E01A9AF143}">
      <text>
        <r>
          <rPr>
            <b/>
            <sz val="9"/>
            <color indexed="81"/>
            <rFont val="Tahoma"/>
            <family val="2"/>
          </rPr>
          <t>Sean Stanley:</t>
        </r>
        <r>
          <rPr>
            <sz val="9"/>
            <color indexed="81"/>
            <rFont val="Tahoma"/>
            <family val="2"/>
          </rPr>
          <t xml:space="preserve">
includes small robo gnorcs which are chargeable</t>
        </r>
      </text>
    </comment>
    <comment ref="M22" authorId="0" shapeId="0" xr:uid="{138AC929-D55F-4B52-9C66-2FAB62923481}">
      <text>
        <r>
          <rPr>
            <b/>
            <sz val="9"/>
            <color indexed="81"/>
            <rFont val="Tahoma"/>
            <family val="2"/>
          </rPr>
          <t>Sean Stanley:</t>
        </r>
        <r>
          <rPr>
            <sz val="9"/>
            <color indexed="81"/>
            <rFont val="Tahoma"/>
            <family val="2"/>
          </rPr>
          <t xml:space="preserve">
does not include 2 baskets at start of caged room that are technically gettable without E</t>
        </r>
      </text>
    </comment>
    <comment ref="N27" authorId="0" shapeId="0" xr:uid="{D81D6887-7376-4138-A561-88DDA1DD72E2}">
      <text>
        <r>
          <rPr>
            <b/>
            <sz val="9"/>
            <color indexed="81"/>
            <rFont val="Tahoma"/>
            <family val="2"/>
          </rPr>
          <t>Sean Stanley:</t>
        </r>
        <r>
          <rPr>
            <sz val="9"/>
            <color indexed="81"/>
            <rFont val="Tahoma"/>
            <family val="2"/>
          </rPr>
          <t xml:space="preserve">
includes 20(?) from small robo gnorc you have to awkwardly charge from above to get. By the headbash switch thing</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0AE3A885-FF15-4F9F-937D-7A6C7CFE8A0F}">
      <text>
        <r>
          <rPr>
            <b/>
            <sz val="9"/>
            <color indexed="81"/>
            <rFont val="Tahoma"/>
            <charset val="1"/>
          </rPr>
          <t>Sean Stanley:</t>
        </r>
        <r>
          <rPr>
            <sz val="9"/>
            <color indexed="81"/>
            <rFont val="Tahoma"/>
            <charset val="1"/>
          </rPr>
          <t xml:space="preserve">
</t>
        </r>
      </text>
    </comment>
    <comment ref="E7" authorId="0" shapeId="0" xr:uid="{50DF7246-DC8A-4EEF-9E58-7A979F7885B4}">
      <text>
        <r>
          <rPr>
            <b/>
            <sz val="9"/>
            <color indexed="81"/>
            <rFont val="Tahoma"/>
            <family val="2"/>
          </rPr>
          <t>Sean Stanley:</t>
        </r>
        <r>
          <rPr>
            <sz val="9"/>
            <color indexed="81"/>
            <rFont val="Tahoma"/>
            <family val="2"/>
          </rPr>
          <t xml:space="preserve">
huge gnorcs in debris cave very hard to get all 40 gems from</t>
        </r>
      </text>
    </comment>
    <comment ref="L8" authorId="0" shapeId="0" xr:uid="{3C2A67DB-1346-4776-B73F-1D4FAF6905D4}">
      <text>
        <r>
          <rPr>
            <b/>
            <sz val="9"/>
            <color indexed="81"/>
            <rFont val="Tahoma"/>
            <family val="2"/>
          </rPr>
          <t>Sean Stanley:</t>
        </r>
        <r>
          <rPr>
            <sz val="9"/>
            <color indexed="81"/>
            <rFont val="Tahoma"/>
            <family val="2"/>
          </rPr>
          <t xml:space="preserve">
Ice + Charge worsk but is a bit glitchy? Or finicky</t>
        </r>
      </text>
    </comment>
    <comment ref="H9" authorId="0" shapeId="0" xr:uid="{7904E21C-870D-46B1-B1D1-BFF6FD2FC23E}">
      <text>
        <r>
          <rPr>
            <b/>
            <sz val="9"/>
            <color indexed="81"/>
            <rFont val="Tahoma"/>
            <family val="2"/>
          </rPr>
          <t>Sean Stanley:</t>
        </r>
        <r>
          <rPr>
            <sz val="9"/>
            <color indexed="81"/>
            <rFont val="Tahoma"/>
            <family val="2"/>
          </rPr>
          <t xml:space="preserve">
can't horn dive but need charge to get to it anyways so N/A</t>
        </r>
      </text>
    </comment>
    <comment ref="H10" authorId="0" shapeId="0" xr:uid="{AC8C0EE9-3297-40C8-AF20-52077543FA32}">
      <text>
        <r>
          <rPr>
            <b/>
            <sz val="9"/>
            <color indexed="81"/>
            <rFont val="Tahoma"/>
            <family val="2"/>
          </rPr>
          <t>Sean Stanley:</t>
        </r>
        <r>
          <rPr>
            <sz val="9"/>
            <color indexed="81"/>
            <rFont val="Tahoma"/>
            <family val="2"/>
          </rPr>
          <t xml:space="preserve">
Glide is here because you can get to the chests without glide but need glide to get the gems from them</t>
        </r>
      </text>
    </comment>
    <comment ref="J13" authorId="0" shapeId="0" xr:uid="{1A53472A-111E-4BDC-A247-D582E047F521}">
      <text>
        <r>
          <rPr>
            <b/>
            <sz val="9"/>
            <color indexed="81"/>
            <rFont val="Tahoma"/>
            <family val="2"/>
          </rPr>
          <t>Sean Stanley:</t>
        </r>
        <r>
          <rPr>
            <sz val="9"/>
            <color indexed="81"/>
            <rFont val="Tahoma"/>
            <family val="2"/>
          </rPr>
          <t xml:space="preserve">
25 are in a metal chest in the area you glide to to avoid wall kicking</t>
        </r>
      </text>
    </comment>
    <comment ref="J17" authorId="0" shapeId="0" xr:uid="{1E90CF51-083A-45B4-A844-68C23743EA3C}">
      <text>
        <r>
          <rPr>
            <b/>
            <sz val="9"/>
            <color indexed="81"/>
            <rFont val="Tahoma"/>
            <family val="2"/>
          </rPr>
          <t>Sean Stanley:</t>
        </r>
        <r>
          <rPr>
            <sz val="9"/>
            <color indexed="81"/>
            <rFont val="Tahoma"/>
            <family val="2"/>
          </rPr>
          <t xml:space="preserve">
average over 5 runs was 703.4</t>
        </r>
      </text>
    </comment>
    <comment ref="F18" authorId="0" shapeId="0" xr:uid="{BB549991-5EF5-44A5-B909-3AC68551C1DF}">
      <text>
        <r>
          <rPr>
            <b/>
            <sz val="9"/>
            <color indexed="81"/>
            <rFont val="Tahoma"/>
            <family val="2"/>
          </rPr>
          <t>Sean Stanley:</t>
        </r>
        <r>
          <rPr>
            <sz val="9"/>
            <color indexed="81"/>
            <rFont val="Tahoma"/>
            <family val="2"/>
          </rPr>
          <t xml:space="preserve">
possibly short by 50? Think I missed a dig spot near the start</t>
        </r>
      </text>
    </comment>
    <comment ref="J18" authorId="0" shapeId="0" xr:uid="{5448C677-5614-4FDC-93F2-AD94E974E822}">
      <text>
        <r>
          <rPr>
            <b/>
            <sz val="9"/>
            <color indexed="81"/>
            <rFont val="Tahoma"/>
            <family val="2"/>
          </rPr>
          <t>Sean Stanley:</t>
        </r>
        <r>
          <rPr>
            <sz val="9"/>
            <color indexed="81"/>
            <rFont val="Tahoma"/>
            <family val="2"/>
          </rPr>
          <t xml:space="preserve">
average of 6 was 831.83</t>
        </r>
      </text>
    </comment>
    <comment ref="E28" authorId="0" shapeId="0" xr:uid="{FFC340A6-0861-4771-8981-5F1854E7EAFB}">
      <text>
        <r>
          <rPr>
            <b/>
            <sz val="9"/>
            <color indexed="81"/>
            <rFont val="Tahoma"/>
            <family val="2"/>
          </rPr>
          <t>Sean Stanley:</t>
        </r>
        <r>
          <rPr>
            <sz val="9"/>
            <color indexed="81"/>
            <rFont val="Tahoma"/>
            <family val="2"/>
          </rPr>
          <t xml:space="preserve">
might want to requires breaths? Horn diving works but is a bit awkward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4E342951-A668-4E45-B6EA-A308DDE224EA}">
      <text>
        <r>
          <rPr>
            <b/>
            <sz val="9"/>
            <color indexed="81"/>
            <rFont val="Tahoma"/>
            <charset val="1"/>
          </rPr>
          <t>Sean Stanley:</t>
        </r>
        <r>
          <rPr>
            <sz val="9"/>
            <color indexed="81"/>
            <rFont val="Tahoma"/>
            <charset val="1"/>
          </rPr>
          <t xml:space="preserve">
</t>
        </r>
      </text>
    </comment>
    <comment ref="E4" authorId="0" shapeId="0" xr:uid="{35A42910-4793-4CDF-826C-9FA012BAC1B9}">
      <text>
        <r>
          <rPr>
            <b/>
            <sz val="9"/>
            <color indexed="81"/>
            <rFont val="Tahoma"/>
            <family val="2"/>
          </rPr>
          <t>Sean Stanley:</t>
        </r>
        <r>
          <rPr>
            <sz val="9"/>
            <color indexed="81"/>
            <rFont val="Tahoma"/>
            <family val="2"/>
          </rPr>
          <t xml:space="preserve">
to include elder check when made into actual region</t>
        </r>
      </text>
    </comment>
    <comment ref="A13" authorId="0" shapeId="0" xr:uid="{05A0B5AE-53D2-44A1-AAC9-58E8C6F0EE63}">
      <text>
        <r>
          <rPr>
            <b/>
            <sz val="9"/>
            <color indexed="81"/>
            <rFont val="Tahoma"/>
            <family val="2"/>
          </rPr>
          <t>Sean Stanley:</t>
        </r>
        <r>
          <rPr>
            <sz val="9"/>
            <color indexed="81"/>
            <rFont val="Tahoma"/>
            <family val="2"/>
          </rPr>
          <t xml:space="preserve">
can get earlier but could be logic problem if missed initially</t>
        </r>
      </text>
    </comment>
    <comment ref="A14" authorId="0" shapeId="0" xr:uid="{24D20305-5683-46F0-91FC-784202C30A29}">
      <text>
        <r>
          <rPr>
            <b/>
            <sz val="9"/>
            <color indexed="81"/>
            <rFont val="Tahoma"/>
            <family val="2"/>
          </rPr>
          <t>Sean Stanley:</t>
        </r>
        <r>
          <rPr>
            <sz val="9"/>
            <color indexed="81"/>
            <rFont val="Tahoma"/>
            <family val="2"/>
          </rPr>
          <t xml:space="preserve">
here to avoid logic issues if missed</t>
        </r>
      </text>
    </comment>
    <comment ref="A18" authorId="0" shapeId="0" xr:uid="{CB3173D8-D6D2-40F2-A1E8-DB3C3CD5EC26}">
      <text>
        <r>
          <rPr>
            <b/>
            <sz val="9"/>
            <color indexed="81"/>
            <rFont val="Tahoma"/>
            <family val="2"/>
          </rPr>
          <t>Sean Stanley:</t>
        </r>
        <r>
          <rPr>
            <sz val="9"/>
            <color indexed="81"/>
            <rFont val="Tahoma"/>
            <family val="2"/>
          </rPr>
          <t xml:space="preserve">
possibly require glide? I myself am who put this area to only glide in logic and I maybe regret it</t>
        </r>
      </text>
    </comment>
    <comment ref="D23" authorId="0" shapeId="0" xr:uid="{3E5411A1-C424-4768-9275-2DD67822F785}">
      <text>
        <r>
          <rPr>
            <b/>
            <sz val="9"/>
            <color indexed="81"/>
            <rFont val="Tahoma"/>
            <family val="2"/>
          </rPr>
          <t>Sean Stanley:</t>
        </r>
        <r>
          <rPr>
            <sz val="9"/>
            <color indexed="81"/>
            <rFont val="Tahoma"/>
            <family val="2"/>
          </rPr>
          <t xml:space="preserve">
assuming glide to whirlwind. Even if pole spinning instead it still needs glide</t>
        </r>
      </text>
    </comment>
    <comment ref="J23" authorId="0" shapeId="0" xr:uid="{EDBF2427-A4C9-402D-9C7C-7C87392B13A8}">
      <text>
        <r>
          <rPr>
            <b/>
            <sz val="9"/>
            <color indexed="81"/>
            <rFont val="Tahoma"/>
            <family val="2"/>
          </rPr>
          <t>Sean Stanley:</t>
        </r>
        <r>
          <rPr>
            <sz val="9"/>
            <color indexed="81"/>
            <rFont val="Tahoma"/>
            <family val="2"/>
          </rPr>
          <t xml:space="preserve">
average of 5 was 995. high variance between a few around 1100 and 2 in the 800s</t>
        </r>
      </text>
    </comment>
    <comment ref="J24" authorId="0" shapeId="0" xr:uid="{24393953-A5CE-49CA-AF6B-66CB17B8C229}">
      <text>
        <r>
          <rPr>
            <b/>
            <sz val="9"/>
            <color indexed="81"/>
            <rFont val="Tahoma"/>
            <family val="2"/>
          </rPr>
          <t>Sean Stanley:</t>
        </r>
        <r>
          <rPr>
            <sz val="9"/>
            <color indexed="81"/>
            <rFont val="Tahoma"/>
            <family val="2"/>
          </rPr>
          <t xml:space="preserve">
average of 6 was 992.83. Very difficult, the 3 highest scoring runs used a bomb in the biggest room</t>
        </r>
      </text>
    </comment>
    <comment ref="A30" authorId="0" shapeId="0" xr:uid="{EFED1B0A-EB93-40A1-97B1-1B9AFE74FA52}">
      <text>
        <r>
          <rPr>
            <b/>
            <sz val="9"/>
            <color indexed="81"/>
            <rFont val="Tahoma"/>
            <family val="2"/>
          </rPr>
          <t>Sean Stanley:</t>
        </r>
        <r>
          <rPr>
            <sz val="9"/>
            <color indexed="81"/>
            <rFont val="Tahoma"/>
            <family val="2"/>
          </rPr>
          <t xml:space="preserve">
missed 5 on re-test, try again?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39F32F68-1CE6-4E55-8263-DCFD3E590BF4}">
      <text>
        <r>
          <rPr>
            <b/>
            <sz val="9"/>
            <color indexed="81"/>
            <rFont val="Tahoma"/>
            <charset val="1"/>
          </rPr>
          <t>Sean Stanley:</t>
        </r>
        <r>
          <rPr>
            <sz val="9"/>
            <color indexed="81"/>
            <rFont val="Tahoma"/>
            <charset val="1"/>
          </rPr>
          <t xml:space="preserve">
suuuuuper unsure of parts of this.</t>
        </r>
      </text>
    </comment>
    <comment ref="E4" authorId="0" shapeId="0" xr:uid="{80530D4A-FA62-4C8A-AAA6-F7BD0782243B}">
      <text>
        <r>
          <rPr>
            <b/>
            <sz val="9"/>
            <color indexed="81"/>
            <rFont val="Tahoma"/>
            <family val="2"/>
          </rPr>
          <t>Sean Stanley:</t>
        </r>
        <r>
          <rPr>
            <sz val="9"/>
            <color indexed="81"/>
            <rFont val="Tahoma"/>
            <family val="2"/>
          </rPr>
          <t xml:space="preserve">
messy gem amounts from yeti. Was 9 short on test</t>
        </r>
      </text>
    </comment>
    <comment ref="A8" authorId="0" shapeId="0" xr:uid="{5DA634CA-37BB-43B8-ADF1-50DCF00B71AD}">
      <text>
        <r>
          <rPr>
            <b/>
            <sz val="9"/>
            <color indexed="81"/>
            <rFont val="Tahoma"/>
            <family val="2"/>
          </rPr>
          <t>Sean Stanley:</t>
        </r>
        <r>
          <rPr>
            <sz val="9"/>
            <color indexed="81"/>
            <rFont val="Tahoma"/>
            <family val="2"/>
          </rPr>
          <t xml:space="preserve">
charge is not needed for time challenge. Can also get one in fountain with a single jump</t>
        </r>
      </text>
    </comment>
    <comment ref="F10" authorId="0" shapeId="0" xr:uid="{785B165B-4238-4A62-80FE-03F2CA1D1E90}">
      <text>
        <r>
          <rPr>
            <b/>
            <sz val="9"/>
            <color indexed="81"/>
            <rFont val="Tahoma"/>
            <family val="2"/>
          </rPr>
          <t>Sean Stanley:</t>
        </r>
        <r>
          <rPr>
            <sz val="9"/>
            <color indexed="81"/>
            <rFont val="Tahoma"/>
            <family val="2"/>
          </rPr>
          <t xml:space="preserve">
average of 4 was 1020.5</t>
        </r>
      </text>
    </comment>
    <comment ref="D11" authorId="0" shapeId="0" xr:uid="{23DC3DBF-5A76-440E-81F5-A383A1A8D2FC}">
      <text>
        <r>
          <rPr>
            <b/>
            <sz val="9"/>
            <color indexed="81"/>
            <rFont val="Tahoma"/>
            <family val="2"/>
          </rPr>
          <t>Sean Stanley:</t>
        </r>
        <r>
          <rPr>
            <sz val="9"/>
            <color indexed="81"/>
            <rFont val="Tahoma"/>
            <family val="2"/>
          </rPr>
          <t xml:space="preserve">
can DJ it and then use E since E is needed to get into here</t>
        </r>
      </text>
    </comment>
    <comment ref="F11" authorId="0" shapeId="0" xr:uid="{DC6F30B0-FE11-4506-BCDC-87316B70E211}">
      <text>
        <r>
          <rPr>
            <b/>
            <sz val="9"/>
            <color indexed="81"/>
            <rFont val="Tahoma"/>
            <family val="2"/>
          </rPr>
          <t>Sean Stanley:</t>
        </r>
        <r>
          <rPr>
            <sz val="9"/>
            <color indexed="81"/>
            <rFont val="Tahoma"/>
            <family val="2"/>
          </rPr>
          <t xml:space="preserve">
average of 3 was 1079.67. seems pretty consistent</t>
        </r>
      </text>
    </comment>
    <comment ref="E33" authorId="0" shapeId="0" xr:uid="{CAB3D240-A20B-4EBB-B1A8-E0F6A939C4F1}">
      <text>
        <r>
          <rPr>
            <b/>
            <sz val="9"/>
            <color indexed="81"/>
            <rFont val="Tahoma"/>
            <family val="2"/>
          </rPr>
          <t>Sean Stanley:</t>
        </r>
        <r>
          <rPr>
            <sz val="9"/>
            <color indexed="81"/>
            <rFont val="Tahoma"/>
            <family val="2"/>
          </rPr>
          <t xml:space="preserve">
a little shaky on parts of this. Some enemies didn't give gems when I thought they did. Some immediates might've been double counted?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Q4" authorId="0" shapeId="0" xr:uid="{3BB722D7-AA29-46FF-8D0D-0F1DB6CDD76B}">
      <text>
        <r>
          <rPr>
            <b/>
            <sz val="9"/>
            <color indexed="81"/>
            <rFont val="Tahoma"/>
            <family val="2"/>
          </rPr>
          <t>Sean Stanley:</t>
        </r>
        <r>
          <rPr>
            <sz val="9"/>
            <color indexed="81"/>
            <rFont val="Tahoma"/>
            <family val="2"/>
          </rPr>
          <t xml:space="preserve">
separated just in case this wants to be considered part of dark mine. Doesn't matter, it's all accessible together at this point in the game</t>
        </r>
      </text>
    </comment>
    <comment ref="E10" authorId="0" shapeId="0" xr:uid="{A396BAF2-5861-4C76-8406-BA231DD06D36}">
      <text>
        <r>
          <rPr>
            <b/>
            <sz val="9"/>
            <color indexed="81"/>
            <rFont val="Tahoma"/>
            <family val="2"/>
          </rPr>
          <t>Sean Stanley:</t>
        </r>
        <r>
          <rPr>
            <sz val="9"/>
            <color indexed="81"/>
            <rFont val="Tahoma"/>
            <family val="2"/>
          </rPr>
          <t xml:space="preserve">
enemy kill options involving ice still listed as that here since Ice is not strictly required</t>
        </r>
      </text>
    </comment>
    <comment ref="N20" authorId="0" shapeId="0" xr:uid="{D3FE77C4-6609-45B2-A504-C60CDF28EF8B}">
      <text>
        <r>
          <rPr>
            <b/>
            <sz val="9"/>
            <color indexed="81"/>
            <rFont val="Tahoma"/>
            <family val="2"/>
          </rPr>
          <t>Sean Stanley:</t>
        </r>
        <r>
          <rPr>
            <sz val="9"/>
            <color indexed="81"/>
            <rFont val="Tahoma"/>
            <family val="2"/>
          </rPr>
          <t xml:space="preserve">
includes small robo gnorcs which are chargeable</t>
        </r>
      </text>
    </comment>
    <comment ref="I22" authorId="0" shapeId="0" xr:uid="{85695EDC-C68F-4C18-9F5C-F7A5087F9C79}">
      <text>
        <r>
          <rPr>
            <b/>
            <sz val="9"/>
            <color indexed="81"/>
            <rFont val="Tahoma"/>
            <charset val="1"/>
          </rPr>
          <t>Sean Stanley:</t>
        </r>
        <r>
          <rPr>
            <sz val="9"/>
            <color indexed="81"/>
            <rFont val="Tahoma"/>
            <charset val="1"/>
          </rPr>
          <t xml:space="preserve">
meant to be unarmored?</t>
        </r>
      </text>
    </comment>
    <comment ref="M24" authorId="0" shapeId="0" xr:uid="{7123AE99-B91A-426F-99A3-07355BB1DCE1}">
      <text>
        <r>
          <rPr>
            <b/>
            <sz val="9"/>
            <color indexed="81"/>
            <rFont val="Tahoma"/>
            <family val="2"/>
          </rPr>
          <t>Sean Stanley:</t>
        </r>
        <r>
          <rPr>
            <sz val="9"/>
            <color indexed="81"/>
            <rFont val="Tahoma"/>
            <family val="2"/>
          </rPr>
          <t xml:space="preserve">
does not include 2 baskets at start of caged room that are technically gettable without E</t>
        </r>
      </text>
    </comment>
    <comment ref="J27" authorId="0" shapeId="0" xr:uid="{2E6B3DBE-C9EE-4072-BC6A-A5347995B8F3}">
      <text>
        <r>
          <rPr>
            <b/>
            <sz val="9"/>
            <color indexed="81"/>
            <rFont val="Tahoma"/>
            <family val="2"/>
          </rPr>
          <t>Sean Stanley:</t>
        </r>
        <r>
          <rPr>
            <sz val="9"/>
            <color indexed="81"/>
            <rFont val="Tahoma"/>
            <family val="2"/>
          </rPr>
          <t xml:space="preserve">
average of 5 was 1222.38</t>
        </r>
      </text>
    </comment>
    <comment ref="J28" authorId="0" shapeId="0" xr:uid="{08DE22E7-D6AF-4EB3-BFE6-32FE9EA65F51}">
      <text>
        <r>
          <rPr>
            <b/>
            <sz val="9"/>
            <color indexed="81"/>
            <rFont val="Tahoma"/>
            <family val="2"/>
          </rPr>
          <t>Sean Stanley:</t>
        </r>
        <r>
          <rPr>
            <sz val="9"/>
            <color indexed="81"/>
            <rFont val="Tahoma"/>
            <family val="2"/>
          </rPr>
          <t xml:space="preserve">
average of 4 was 1097.5</t>
        </r>
      </text>
    </comment>
    <comment ref="N30" authorId="0" shapeId="0" xr:uid="{AFB0E1E0-F374-47E0-8665-B2FF3FA25936}">
      <text>
        <r>
          <rPr>
            <b/>
            <sz val="9"/>
            <color indexed="81"/>
            <rFont val="Tahoma"/>
            <family val="2"/>
          </rPr>
          <t>Sean Stanley:</t>
        </r>
        <r>
          <rPr>
            <sz val="9"/>
            <color indexed="81"/>
            <rFont val="Tahoma"/>
            <family val="2"/>
          </rPr>
          <t xml:space="preserve">
includes 20(?) from small robo gnorc you have to awkwardly charge from above to get. By the headbash switch thing</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9D33FDE0-63C3-4D03-8FF4-0A208FE258C7}">
      <text>
        <r>
          <rPr>
            <b/>
            <sz val="9"/>
            <color indexed="81"/>
            <rFont val="Tahoma"/>
            <charset val="1"/>
          </rPr>
          <t>Sean Stanley:</t>
        </r>
        <r>
          <rPr>
            <sz val="9"/>
            <color indexed="81"/>
            <rFont val="Tahoma"/>
            <charset val="1"/>
          </rPr>
          <t xml:space="preserve">
</t>
        </r>
      </text>
    </comment>
    <comment ref="E7" authorId="0" shapeId="0" xr:uid="{EF362D42-A8B6-4AEA-A462-A0A20A1527AA}">
      <text>
        <r>
          <rPr>
            <b/>
            <sz val="9"/>
            <color indexed="81"/>
            <rFont val="Tahoma"/>
            <family val="2"/>
          </rPr>
          <t>Sean Stanley:</t>
        </r>
        <r>
          <rPr>
            <sz val="9"/>
            <color indexed="81"/>
            <rFont val="Tahoma"/>
            <family val="2"/>
          </rPr>
          <t xml:space="preserve">
huge gnorcs in debris cave very hard to get all 40 gems from</t>
        </r>
      </text>
    </comment>
    <comment ref="L8" authorId="0" shapeId="0" xr:uid="{3C936B3C-63E5-4E16-B348-8D50B298D9D4}">
      <text>
        <r>
          <rPr>
            <b/>
            <sz val="9"/>
            <color indexed="81"/>
            <rFont val="Tahoma"/>
            <family val="2"/>
          </rPr>
          <t>Sean Stanley:</t>
        </r>
        <r>
          <rPr>
            <sz val="9"/>
            <color indexed="81"/>
            <rFont val="Tahoma"/>
            <family val="2"/>
          </rPr>
          <t xml:space="preserve">
Ice + Charge worsk but is a bit glitchy? Or finicky</t>
        </r>
      </text>
    </comment>
    <comment ref="H9" authorId="0" shapeId="0" xr:uid="{FB5CE0FB-3836-4E0D-84CD-F9464EA4BB3E}">
      <text>
        <r>
          <rPr>
            <b/>
            <sz val="9"/>
            <color indexed="81"/>
            <rFont val="Tahoma"/>
            <family val="2"/>
          </rPr>
          <t>Sean Stanley:</t>
        </r>
        <r>
          <rPr>
            <sz val="9"/>
            <color indexed="81"/>
            <rFont val="Tahoma"/>
            <family val="2"/>
          </rPr>
          <t xml:space="preserve">
can't horn dive but need charge to get to it anyways so N/A</t>
        </r>
      </text>
    </comment>
    <comment ref="H10" authorId="0" shapeId="0" xr:uid="{E30A9577-3B07-48E1-AEC4-1889CE45C493}">
      <text>
        <r>
          <rPr>
            <b/>
            <sz val="9"/>
            <color indexed="81"/>
            <rFont val="Tahoma"/>
            <family val="2"/>
          </rPr>
          <t>Sean Stanley:</t>
        </r>
        <r>
          <rPr>
            <sz val="9"/>
            <color indexed="81"/>
            <rFont val="Tahoma"/>
            <family val="2"/>
          </rPr>
          <t xml:space="preserve">
Glide is here because you can get to the chests without glide but need glide to get the gems from them</t>
        </r>
      </text>
    </comment>
    <comment ref="K11" authorId="0" shapeId="0" xr:uid="{6D9E3F5D-BB4D-482B-94FE-EAA72621C69A}">
      <text>
        <r>
          <rPr>
            <b/>
            <sz val="9"/>
            <color indexed="81"/>
            <rFont val="Tahoma"/>
            <family val="2"/>
          </rPr>
          <t>Sean Stanley:</t>
        </r>
        <r>
          <rPr>
            <sz val="9"/>
            <color indexed="81"/>
            <rFont val="Tahoma"/>
            <family val="2"/>
          </rPr>
          <t xml:space="preserve">
separated because swim is needed to get to them at all, then charge to break them open</t>
        </r>
      </text>
    </comment>
    <comment ref="G12" authorId="0" shapeId="0" xr:uid="{0289D772-7B2E-43DA-B9B2-753C2C0229D5}">
      <text>
        <r>
          <rPr>
            <b/>
            <sz val="9"/>
            <color indexed="81"/>
            <rFont val="Tahoma"/>
            <family val="2"/>
          </rPr>
          <t>Sean Stanley:</t>
        </r>
        <r>
          <rPr>
            <sz val="9"/>
            <color indexed="81"/>
            <rFont val="Tahoma"/>
            <family val="2"/>
          </rPr>
          <t xml:space="preserve">
here because you can't even get to them at all without supercharge, once you do have access you don't need anything else</t>
        </r>
      </text>
    </comment>
    <comment ref="J14" authorId="0" shapeId="0" xr:uid="{C652328D-A17D-49D9-A464-8786108F62DD}">
      <text>
        <r>
          <rPr>
            <b/>
            <sz val="9"/>
            <color indexed="81"/>
            <rFont val="Tahoma"/>
            <family val="2"/>
          </rPr>
          <t>Sean Stanley:</t>
        </r>
        <r>
          <rPr>
            <sz val="9"/>
            <color indexed="81"/>
            <rFont val="Tahoma"/>
            <family val="2"/>
          </rPr>
          <t xml:space="preserve">
25 are in a metal chest in the area you glide to to avoid wall kicking</t>
        </r>
      </text>
    </comment>
    <comment ref="J26" authorId="0" shapeId="0" xr:uid="{6CC2EFC1-AEB3-4F32-B747-C71451A4F0C5}">
      <text>
        <r>
          <rPr>
            <b/>
            <sz val="9"/>
            <color indexed="81"/>
            <rFont val="Tahoma"/>
            <family val="2"/>
          </rPr>
          <t>Sean Stanley:</t>
        </r>
        <r>
          <rPr>
            <sz val="9"/>
            <color indexed="81"/>
            <rFont val="Tahoma"/>
            <family val="2"/>
          </rPr>
          <t xml:space="preserve">
average over 5 runs was 703.4</t>
        </r>
      </text>
    </comment>
    <comment ref="J27" authorId="0" shapeId="0" xr:uid="{BA07C34D-8039-49BE-9A18-1738D514EC85}">
      <text>
        <r>
          <rPr>
            <b/>
            <sz val="9"/>
            <color indexed="81"/>
            <rFont val="Tahoma"/>
            <family val="2"/>
          </rPr>
          <t>Sean Stanley:</t>
        </r>
        <r>
          <rPr>
            <sz val="9"/>
            <color indexed="81"/>
            <rFont val="Tahoma"/>
            <family val="2"/>
          </rPr>
          <t xml:space="preserve">
average of 6 was 831.83</t>
        </r>
      </text>
    </comment>
    <comment ref="E29" authorId="0" shapeId="0" xr:uid="{7505FE5F-D6F0-450B-8E64-AABE4EC71DB2}">
      <text>
        <r>
          <rPr>
            <b/>
            <sz val="9"/>
            <color indexed="81"/>
            <rFont val="Tahoma"/>
            <family val="2"/>
          </rPr>
          <t>Sean Stanley:</t>
        </r>
        <r>
          <rPr>
            <sz val="9"/>
            <color indexed="81"/>
            <rFont val="Tahoma"/>
            <family val="2"/>
          </rPr>
          <t xml:space="preserve">
might want to requires breaths? Horn diving works but is a bit awkward</t>
        </r>
      </text>
    </comment>
    <comment ref="F31" authorId="0" shapeId="0" xr:uid="{79ECE2CE-9AF7-44A8-9E08-9DDA5C89F1BC}">
      <text>
        <r>
          <rPr>
            <b/>
            <sz val="9"/>
            <color indexed="81"/>
            <rFont val="Tahoma"/>
            <family val="2"/>
          </rPr>
          <t>Sean Stanley:</t>
        </r>
        <r>
          <rPr>
            <sz val="9"/>
            <color indexed="81"/>
            <rFont val="Tahoma"/>
            <family val="2"/>
          </rPr>
          <t xml:space="preserve">
possibly short by 50? Think I missed a dig spot near the start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9E4AEE81-9D10-4F5F-9572-EE67306D3370}">
      <text>
        <r>
          <rPr>
            <b/>
            <sz val="9"/>
            <color indexed="81"/>
            <rFont val="Tahoma"/>
            <charset val="1"/>
          </rPr>
          <t>Sean Stanley:</t>
        </r>
        <r>
          <rPr>
            <sz val="9"/>
            <color indexed="81"/>
            <rFont val="Tahoma"/>
            <charset val="1"/>
          </rPr>
          <t xml:space="preserve">
</t>
        </r>
      </text>
    </comment>
    <comment ref="A5" authorId="0" shapeId="0" xr:uid="{A8C28264-D5F1-4C1D-AD4B-32CD7F4E8762}">
      <text>
        <r>
          <rPr>
            <b/>
            <sz val="9"/>
            <color indexed="81"/>
            <rFont val="Tahoma"/>
            <family val="2"/>
          </rPr>
          <t>Sean Stanley:</t>
        </r>
        <r>
          <rPr>
            <sz val="9"/>
            <color indexed="81"/>
            <rFont val="Tahoma"/>
            <family val="2"/>
          </rPr>
          <t xml:space="preserve">
includes right path of otto's pool which has gems underneath the wheel</t>
        </r>
      </text>
    </comment>
    <comment ref="A12" authorId="0" shapeId="0" xr:uid="{5E637A3D-5836-4DCD-ABC4-5A4D12E69508}">
      <text>
        <r>
          <rPr>
            <b/>
            <sz val="9"/>
            <color indexed="81"/>
            <rFont val="Tahoma"/>
            <family val="2"/>
          </rPr>
          <t>Sean Stanley:</t>
        </r>
        <r>
          <rPr>
            <sz val="9"/>
            <color indexed="81"/>
            <rFont val="Tahoma"/>
            <family val="2"/>
          </rPr>
          <t xml:space="preserve">
some cannibals are from huts which give 25 total each. Also, some crabs in Otto's pool are missable and would require pool to be filled if not gotten initially</t>
        </r>
      </text>
    </comment>
    <comment ref="D12" authorId="0" shapeId="0" xr:uid="{AAF98E34-4E2F-4635-884A-F51584041FCB}">
      <text>
        <r>
          <rPr>
            <b/>
            <sz val="9"/>
            <color indexed="81"/>
            <rFont val="Tahoma"/>
            <family val="2"/>
          </rPr>
          <t>Sean Stanley:</t>
        </r>
        <r>
          <rPr>
            <sz val="9"/>
            <color indexed="81"/>
            <rFont val="Tahoma"/>
            <family val="2"/>
          </rPr>
          <t xml:space="preserve">
huts don't give any gems no matter what, so no DJ needed</t>
        </r>
      </text>
    </comment>
    <comment ref="A15" authorId="0" shapeId="0" xr:uid="{9AF35BC2-0F6B-413A-B8EE-BD03CEBEE349}">
      <text>
        <r>
          <rPr>
            <b/>
            <sz val="9"/>
            <color indexed="81"/>
            <rFont val="Tahoma"/>
            <family val="2"/>
          </rPr>
          <t>Sean Stanley:</t>
        </r>
        <r>
          <rPr>
            <sz val="9"/>
            <color indexed="81"/>
            <rFont val="Tahoma"/>
            <family val="2"/>
          </rPr>
          <t xml:space="preserve">
possibly require glide? I myself am who put this area to only glide in logic and I maybe regret it</t>
        </r>
      </text>
    </comment>
    <comment ref="C16" authorId="0" shapeId="0" xr:uid="{21B604CD-89F3-42B7-ADBA-639D9DB9C4BD}">
      <text>
        <r>
          <rPr>
            <b/>
            <sz val="9"/>
            <color indexed="81"/>
            <rFont val="Tahoma"/>
            <family val="2"/>
          </rPr>
          <t>Sean Stanley:</t>
        </r>
        <r>
          <rPr>
            <sz val="9"/>
            <color indexed="81"/>
            <rFont val="Tahoma"/>
            <family val="2"/>
          </rPr>
          <t xml:space="preserve">
doable without glide, maybe close?</t>
        </r>
      </text>
    </comment>
    <comment ref="B20" authorId="0" shapeId="0" xr:uid="{F0616360-288A-45CE-9206-A7CA76613ADD}">
      <text>
        <r>
          <rPr>
            <b/>
            <sz val="9"/>
            <color indexed="81"/>
            <rFont val="Tahoma"/>
            <family val="2"/>
          </rPr>
          <t>Sean Stanley:</t>
        </r>
        <r>
          <rPr>
            <sz val="9"/>
            <color indexed="81"/>
            <rFont val="Tahoma"/>
            <family val="2"/>
          </rPr>
          <t xml:space="preserve">
includes 148 from area in the back which is doable without DJ but not obviously</t>
        </r>
      </text>
    </comment>
    <comment ref="B22" authorId="0" shapeId="0" xr:uid="{FA429124-AF39-45EF-B591-C9713C206E10}">
      <text>
        <r>
          <rPr>
            <b/>
            <sz val="9"/>
            <color indexed="81"/>
            <rFont val="Tahoma"/>
            <family val="2"/>
          </rPr>
          <t>Sean Stanley:</t>
        </r>
        <r>
          <rPr>
            <sz val="9"/>
            <color indexed="81"/>
            <rFont val="Tahoma"/>
            <family val="2"/>
          </rPr>
          <t xml:space="preserve">
includes 75 from far back area seemingly needing DJ but doesn't</t>
        </r>
      </text>
    </comment>
    <comment ref="B23" authorId="0" shapeId="0" xr:uid="{358B3BD2-86B0-4FAC-BBA9-B7A247B0E1BA}">
      <text>
        <r>
          <rPr>
            <b/>
            <sz val="9"/>
            <color indexed="81"/>
            <rFont val="Tahoma"/>
            <family val="2"/>
          </rPr>
          <t>Sean Stanley:</t>
        </r>
        <r>
          <rPr>
            <sz val="9"/>
            <color indexed="81"/>
            <rFont val="Tahoma"/>
            <family val="2"/>
          </rPr>
          <t xml:space="preserve">
includes 25 from far back area</t>
        </r>
      </text>
    </comment>
    <comment ref="F23" authorId="0" shapeId="0" xr:uid="{6E6FEA96-E7C1-4422-A04E-41011AED4CB6}">
      <text>
        <r>
          <rPr>
            <b/>
            <sz val="9"/>
            <color indexed="81"/>
            <rFont val="Tahoma"/>
            <family val="2"/>
          </rPr>
          <t>Sean Stanley:</t>
        </r>
        <r>
          <rPr>
            <sz val="9"/>
            <color indexed="81"/>
            <rFont val="Tahoma"/>
            <family val="2"/>
          </rPr>
          <t xml:space="preserve">
50 are very annoying to get flying over away from Sgt. Byrd's tower</t>
        </r>
      </text>
    </comment>
    <comment ref="A30" authorId="0" shapeId="0" xr:uid="{BA6E4F25-0FBD-4F7E-B521-78E8B2D4A669}">
      <text>
        <r>
          <rPr>
            <b/>
            <sz val="9"/>
            <color indexed="81"/>
            <rFont val="Tahoma"/>
            <charset val="1"/>
          </rPr>
          <t>Sean Stanley:</t>
        </r>
        <r>
          <rPr>
            <sz val="9"/>
            <color indexed="81"/>
            <rFont val="Tahoma"/>
            <charset val="1"/>
          </rPr>
          <t xml:space="preserve">
verify requirements? Probably need pole spin for more?</t>
        </r>
      </text>
    </comment>
    <comment ref="I30" authorId="0" shapeId="0" xr:uid="{D9D1C90E-60B5-4EFF-B39C-BE58CDCCCBBC}">
      <text>
        <r>
          <rPr>
            <b/>
            <sz val="9"/>
            <color indexed="81"/>
            <rFont val="Tahoma"/>
            <family val="2"/>
          </rPr>
          <t>Sean Stanley:</t>
        </r>
        <r>
          <rPr>
            <sz val="9"/>
            <color indexed="81"/>
            <rFont val="Tahoma"/>
            <family val="2"/>
          </rPr>
          <t xml:space="preserve">
includes some a little tight of a DJ away from area next to dark gem. Maybe require glide? Also includes 1550 that requires knowing you can double jump around the middle height ledges. Maybe unfair? They would require glide if switching it</t>
        </r>
      </text>
    </comment>
    <comment ref="B31" authorId="0" shapeId="0" xr:uid="{28EBB30E-B321-401B-8431-FC9C98B7BD83}">
      <text>
        <r>
          <rPr>
            <b/>
            <sz val="9"/>
            <color indexed="81"/>
            <rFont val="Tahoma"/>
            <family val="2"/>
          </rPr>
          <t>Sean Stanley:</t>
        </r>
        <r>
          <rPr>
            <sz val="9"/>
            <color indexed="81"/>
            <rFont val="Tahoma"/>
            <family val="2"/>
          </rPr>
          <t xml:space="preserve">
probably meant to be 300? Couldn't find the 300th tho</t>
        </r>
      </text>
    </comment>
    <comment ref="D33" authorId="0" shapeId="0" xr:uid="{D9E91EF7-84D6-434F-8559-3F007BD58C02}">
      <text>
        <r>
          <rPr>
            <b/>
            <sz val="9"/>
            <color indexed="81"/>
            <rFont val="Tahoma"/>
            <family val="2"/>
          </rPr>
          <t>Sean Stanley:</t>
        </r>
        <r>
          <rPr>
            <sz val="9"/>
            <color indexed="81"/>
            <rFont val="Tahoma"/>
            <family val="2"/>
          </rPr>
          <t xml:space="preserve">
can glide directly to whirlwind or do pole spin route (which requires glide to fully do)</t>
        </r>
      </text>
    </comment>
    <comment ref="J36" authorId="0" shapeId="0" xr:uid="{F6033624-FAFE-4312-B7A4-431ED73580F5}">
      <text>
        <r>
          <rPr>
            <b/>
            <sz val="9"/>
            <color indexed="81"/>
            <rFont val="Tahoma"/>
            <family val="2"/>
          </rPr>
          <t>Sean Stanley:</t>
        </r>
        <r>
          <rPr>
            <sz val="9"/>
            <color indexed="81"/>
            <rFont val="Tahoma"/>
            <family val="2"/>
          </rPr>
          <t xml:space="preserve">
average of 5 was 995. high variance between a few around 1100 and 2 in the 800s</t>
        </r>
      </text>
    </comment>
    <comment ref="K36" authorId="0" shapeId="0" xr:uid="{E17845CA-9CC6-4253-8964-39CAE6951311}">
      <text>
        <r>
          <rPr>
            <b/>
            <sz val="9"/>
            <color indexed="81"/>
            <rFont val="Tahoma"/>
            <charset val="1"/>
          </rPr>
          <t>Sean Stanley:</t>
        </r>
        <r>
          <rPr>
            <sz val="9"/>
            <color indexed="81"/>
            <rFont val="Tahoma"/>
            <charset val="1"/>
          </rPr>
          <t xml:space="preserve">
double check needing only swim</t>
        </r>
      </text>
    </comment>
    <comment ref="J37" authorId="0" shapeId="0" xr:uid="{2704FCC1-8933-444C-BB92-7909B94061F6}">
      <text>
        <r>
          <rPr>
            <b/>
            <sz val="9"/>
            <color indexed="81"/>
            <rFont val="Tahoma"/>
            <family val="2"/>
          </rPr>
          <t>Sean Stanley:</t>
        </r>
        <r>
          <rPr>
            <sz val="9"/>
            <color indexed="81"/>
            <rFont val="Tahoma"/>
            <family val="2"/>
          </rPr>
          <t xml:space="preserve">
average of 6 was 992.83. Very difficult, the 3 highest scoring runs used a bomb in the biggest room</t>
        </r>
      </text>
    </comment>
    <comment ref="K37" authorId="0" shapeId="0" xr:uid="{10E450E1-8551-4B88-8904-5676D1F6C19D}">
      <text>
        <r>
          <rPr>
            <b/>
            <sz val="9"/>
            <color indexed="81"/>
            <rFont val="Tahoma"/>
            <charset val="1"/>
          </rPr>
          <t>Sean Stanley:</t>
        </r>
        <r>
          <rPr>
            <sz val="9"/>
            <color indexed="81"/>
            <rFont val="Tahoma"/>
            <charset val="1"/>
          </rPr>
          <t xml:space="preserve">
double check needing only swim</t>
        </r>
      </text>
    </comment>
    <comment ref="B39" authorId="0" shapeId="0" xr:uid="{203B5951-1903-433A-A46B-F054D106BC3F}">
      <text>
        <r>
          <rPr>
            <b/>
            <sz val="9"/>
            <color indexed="81"/>
            <rFont val="Tahoma"/>
            <family val="2"/>
          </rPr>
          <t>Sean Stanley:</t>
        </r>
        <r>
          <rPr>
            <sz val="9"/>
            <color indexed="81"/>
            <rFont val="Tahoma"/>
            <family val="2"/>
          </rPr>
          <t xml:space="preserve">
5 from a hut</t>
        </r>
      </text>
    </comment>
    <comment ref="D53" authorId="0" shapeId="0" xr:uid="{B8CE965B-B2F1-4969-B39A-5A8350855EF1}">
      <text>
        <r>
          <rPr>
            <b/>
            <sz val="9"/>
            <color indexed="81"/>
            <rFont val="Tahoma"/>
            <family val="2"/>
          </rPr>
          <t>Sean Stanley:</t>
        </r>
        <r>
          <rPr>
            <sz val="9"/>
            <color indexed="81"/>
            <rFont val="Tahoma"/>
            <family val="2"/>
          </rPr>
          <t xml:space="preserve">
huts don't give any gems no matter what, so no DJ needed</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E2" authorId="0" shapeId="0" xr:uid="{17D479BA-B89B-442C-9AA4-2198A4571095}">
      <text>
        <r>
          <rPr>
            <b/>
            <sz val="9"/>
            <color indexed="81"/>
            <rFont val="Tahoma"/>
            <charset val="1"/>
          </rPr>
          <t>Sean Stanley:</t>
        </r>
        <r>
          <rPr>
            <sz val="9"/>
            <color indexed="81"/>
            <rFont val="Tahoma"/>
            <charset val="1"/>
          </rPr>
          <t xml:space="preserve">
suuuuuper unsure of parts of this.</t>
        </r>
      </text>
    </comment>
    <comment ref="A7" authorId="0" shapeId="0" xr:uid="{A48D8FAF-4B68-44CB-BA29-D1969B59E097}">
      <text>
        <r>
          <rPr>
            <b/>
            <sz val="9"/>
            <color indexed="81"/>
            <rFont val="Tahoma"/>
            <family val="2"/>
          </rPr>
          <t>Sean Stanley:</t>
        </r>
        <r>
          <rPr>
            <sz val="9"/>
            <color indexed="81"/>
            <rFont val="Tahoma"/>
            <family val="2"/>
          </rPr>
          <t xml:space="preserve">
charge is not needed for time challenge. Can also get one in fountain with a single jump</t>
        </r>
      </text>
    </comment>
    <comment ref="F8" authorId="0" shapeId="0" xr:uid="{A84CC370-0A09-4C18-B78A-45A84EAE8F5A}">
      <text>
        <r>
          <rPr>
            <b/>
            <sz val="9"/>
            <color indexed="81"/>
            <rFont val="Tahoma"/>
            <family val="2"/>
          </rPr>
          <t>Sean Stanley:</t>
        </r>
        <r>
          <rPr>
            <sz val="9"/>
            <color indexed="81"/>
            <rFont val="Tahoma"/>
            <family val="2"/>
          </rPr>
          <t xml:space="preserve">
died to respawn explode-y arrows to do them. Required to get everything explode-y</t>
        </r>
      </text>
    </comment>
    <comment ref="C9" authorId="0" shapeId="0" xr:uid="{59371B55-791E-4FD2-A212-78EF87142507}">
      <text>
        <r>
          <rPr>
            <b/>
            <sz val="9"/>
            <color indexed="81"/>
            <rFont val="Tahoma"/>
            <family val="2"/>
          </rPr>
          <t>Sean Stanley:</t>
        </r>
        <r>
          <rPr>
            <sz val="9"/>
            <color indexed="81"/>
            <rFont val="Tahoma"/>
            <family val="2"/>
          </rPr>
          <t xml:space="preserve">
maybe require glide for easier time getting to the water-raised platform?</t>
        </r>
      </text>
    </comment>
    <comment ref="C10" authorId="0" shapeId="0" xr:uid="{FA601857-D5A1-45B7-A78E-C3698AC27A56}">
      <text>
        <r>
          <rPr>
            <b/>
            <sz val="9"/>
            <color indexed="81"/>
            <rFont val="Tahoma"/>
            <family val="2"/>
          </rPr>
          <t>Sean Stanley:</t>
        </r>
        <r>
          <rPr>
            <sz val="9"/>
            <color indexed="81"/>
            <rFont val="Tahoma"/>
            <family val="2"/>
          </rPr>
          <t xml:space="preserve">
DJ to get to ledge with switch, maybe require glide?</t>
        </r>
      </text>
    </comment>
    <comment ref="D10" authorId="0" shapeId="0" xr:uid="{C9B54552-D020-4E72-B1F6-165B98130A0F}">
      <text>
        <r>
          <rPr>
            <b/>
            <sz val="9"/>
            <color indexed="81"/>
            <rFont val="Tahoma"/>
            <family val="2"/>
          </rPr>
          <t>Sean Stanley:</t>
        </r>
        <r>
          <rPr>
            <sz val="9"/>
            <color indexed="81"/>
            <rFont val="Tahoma"/>
            <family val="2"/>
          </rPr>
          <t xml:space="preserve">
can DJ it and then use E since E is needed to get into here</t>
        </r>
      </text>
    </comment>
    <comment ref="F11" authorId="0" shapeId="0" xr:uid="{B5E3CC97-A438-497A-A312-7E2A0021ED93}">
      <text>
        <r>
          <rPr>
            <b/>
            <sz val="9"/>
            <color indexed="81"/>
            <rFont val="Tahoma"/>
            <family val="2"/>
          </rPr>
          <t>Sean Stanley:</t>
        </r>
        <r>
          <rPr>
            <sz val="9"/>
            <color indexed="81"/>
            <rFont val="Tahoma"/>
            <family val="2"/>
          </rPr>
          <t xml:space="preserve">
average of 4 was 1020.5</t>
        </r>
      </text>
    </comment>
    <comment ref="F12" authorId="0" shapeId="0" xr:uid="{5033CC16-698D-4C87-A0D4-E9966DBFA0FF}">
      <text>
        <r>
          <rPr>
            <b/>
            <sz val="9"/>
            <color indexed="81"/>
            <rFont val="Tahoma"/>
            <family val="2"/>
          </rPr>
          <t>Sean Stanley:</t>
        </r>
        <r>
          <rPr>
            <sz val="9"/>
            <color indexed="81"/>
            <rFont val="Tahoma"/>
            <family val="2"/>
          </rPr>
          <t xml:space="preserve">
average of 3 was 1079.67. seems pretty consistent</t>
        </r>
      </text>
    </comment>
    <comment ref="D15" authorId="0" shapeId="0" xr:uid="{DB491E3B-F6DA-457A-96BC-191BF8BE27B0}">
      <text>
        <r>
          <rPr>
            <b/>
            <sz val="9"/>
            <color indexed="81"/>
            <rFont val="Tahoma"/>
            <family val="2"/>
          </rPr>
          <t>Sean Stanley:</t>
        </r>
        <r>
          <rPr>
            <sz val="9"/>
            <color indexed="81"/>
            <rFont val="Tahoma"/>
            <family val="2"/>
          </rPr>
          <t xml:space="preserve">
huts don't give any gems no matter what, so no DJ needed</t>
        </r>
      </text>
    </comment>
    <comment ref="J15" authorId="0" shapeId="0" xr:uid="{4DC61CB8-F8FE-4957-AC89-1FC21FB37192}">
      <text>
        <r>
          <rPr>
            <b/>
            <sz val="9"/>
            <color indexed="81"/>
            <rFont val="Tahoma"/>
            <family val="2"/>
          </rPr>
          <t>Sean Stanley:</t>
        </r>
        <r>
          <rPr>
            <sz val="9"/>
            <color indexed="81"/>
            <rFont val="Tahoma"/>
            <family val="2"/>
          </rPr>
          <t xml:space="preserve">
the first one in level that gave gems is inconsistent as FUCK holy shit. Not sure about others yet. Got 18 this time but can easily get less</t>
        </r>
      </text>
    </comment>
    <comment ref="B17" authorId="0" shapeId="0" xr:uid="{A3DFD3BA-7C2B-42E6-9B26-106FAB54C384}">
      <text>
        <r>
          <rPr>
            <b/>
            <sz val="9"/>
            <color indexed="81"/>
            <rFont val="Tahoma"/>
            <family val="2"/>
          </rPr>
          <t>Sean Stanley:</t>
        </r>
        <r>
          <rPr>
            <sz val="9"/>
            <color indexed="81"/>
            <rFont val="Tahoma"/>
            <family val="2"/>
          </rPr>
          <t xml:space="preserve">
not 100% sure on the total for the 2 right after wall kick spots</t>
        </r>
      </text>
    </comment>
    <comment ref="D18" authorId="0" shapeId="0" xr:uid="{F0364166-F634-4683-9DD8-0029D8D98293}">
      <text>
        <r>
          <rPr>
            <b/>
            <sz val="9"/>
            <color indexed="81"/>
            <rFont val="Tahoma"/>
            <family val="2"/>
          </rPr>
          <t>Sean Stanley:</t>
        </r>
        <r>
          <rPr>
            <sz val="9"/>
            <color indexed="81"/>
            <rFont val="Tahoma"/>
            <family val="2"/>
          </rPr>
          <t xml:space="preserve">
notably different in that DJ is ruled out here. Probably doable if clever but nah</t>
        </r>
      </text>
    </comment>
    <comment ref="J20" authorId="0" shapeId="0" xr:uid="{60760C5A-D23C-42EE-A9BC-3D2CB5A8E143}">
      <text>
        <r>
          <rPr>
            <b/>
            <sz val="9"/>
            <color indexed="81"/>
            <rFont val="Tahoma"/>
            <family val="2"/>
          </rPr>
          <t>Sean Stanley:</t>
        </r>
        <r>
          <rPr>
            <sz val="9"/>
            <color indexed="81"/>
            <rFont val="Tahoma"/>
            <family val="2"/>
          </rPr>
          <t xml:space="preserve">
includes 150 that I'm pretty sure were in this category (I suspect a dark shard or two and baskets/chests by the furnace after cannon dark gem)</t>
        </r>
      </text>
    </comment>
    <comment ref="J25" authorId="0" shapeId="0" xr:uid="{1CB88434-EC3A-4F5E-9331-3344E092C4FB}">
      <text>
        <r>
          <rPr>
            <b/>
            <sz val="9"/>
            <color indexed="81"/>
            <rFont val="Tahoma"/>
            <family val="2"/>
          </rPr>
          <t>Sean Stanley:</t>
        </r>
        <r>
          <rPr>
            <sz val="9"/>
            <color indexed="81"/>
            <rFont val="Tahoma"/>
            <family val="2"/>
          </rPr>
          <t xml:space="preserve">
super inconsistent just like the yeti? yiiiiiikes</t>
        </r>
      </text>
    </comment>
    <comment ref="J26" authorId="0" shapeId="0" xr:uid="{E208E99F-0EF2-4F2C-90EC-2DAC4B94E0B5}">
      <text>
        <r>
          <rPr>
            <b/>
            <sz val="9"/>
            <color indexed="81"/>
            <rFont val="Tahoma"/>
            <family val="2"/>
          </rPr>
          <t>Sean Stanley:</t>
        </r>
        <r>
          <rPr>
            <sz val="9"/>
            <color indexed="81"/>
            <rFont val="Tahoma"/>
            <family val="2"/>
          </rPr>
          <t xml:space="preserve">
includes 21 from 2 Yeti (10 and 11) that are just fucked</t>
        </r>
      </text>
    </comment>
    <comment ref="A29" authorId="0" shapeId="0" xr:uid="{4FACC494-5018-43CF-A0C6-D8686814F9A9}">
      <text>
        <r>
          <rPr>
            <b/>
            <sz val="9"/>
            <color indexed="81"/>
            <rFont val="Tahoma"/>
            <family val="2"/>
          </rPr>
          <t>Sean Stanley:</t>
        </r>
        <r>
          <rPr>
            <sz val="9"/>
            <color indexed="81"/>
            <rFont val="Tahoma"/>
            <family val="2"/>
          </rPr>
          <t xml:space="preserve">
cannon is reachable with just double jump fine enough imo</t>
        </r>
      </text>
    </comment>
    <comment ref="E29" authorId="0" shapeId="0" xr:uid="{95960459-4005-4BEB-8525-24803A4E8DA6}">
      <text>
        <r>
          <rPr>
            <b/>
            <sz val="9"/>
            <color indexed="81"/>
            <rFont val="Tahoma"/>
            <family val="2"/>
          </rPr>
          <t>Sean Stanley:</t>
        </r>
        <r>
          <rPr>
            <sz val="9"/>
            <color indexed="81"/>
            <rFont val="Tahoma"/>
            <family val="2"/>
          </rPr>
          <t xml:space="preserve">
cannon is reachable with just double jump fine enough imo</t>
        </r>
      </text>
    </comment>
    <comment ref="I32" authorId="0" shapeId="0" xr:uid="{7CE47907-1047-4B7B-977C-929B646D6AE9}">
      <text>
        <r>
          <rPr>
            <b/>
            <sz val="9"/>
            <color indexed="81"/>
            <rFont val="Tahoma"/>
            <family val="2"/>
          </rPr>
          <t>Sean Stanley:</t>
        </r>
        <r>
          <rPr>
            <sz val="9"/>
            <color indexed="81"/>
            <rFont val="Tahoma"/>
            <family val="2"/>
          </rPr>
          <t xml:space="preserve">
not sure if these are technically part of frostbite village or ice citadel, putting them here for simplicity</t>
        </r>
      </text>
    </comment>
    <comment ref="E34" authorId="0" shapeId="0" xr:uid="{A5680CF4-335E-4C24-9F96-46CDBEF2BE03}">
      <text>
        <r>
          <rPr>
            <b/>
            <sz val="9"/>
            <color indexed="81"/>
            <rFont val="Tahoma"/>
            <family val="2"/>
          </rPr>
          <t>Sean Stanley:</t>
        </r>
        <r>
          <rPr>
            <sz val="9"/>
            <color indexed="81"/>
            <rFont val="Tahoma"/>
            <family val="2"/>
          </rPr>
          <t xml:space="preserve">
a little shaky on parts of this. Some enemies didn't give gems when I thought they did. Some immediates might've been double counted?</t>
        </r>
      </text>
    </comment>
    <comment ref="C47" authorId="0" shapeId="0" xr:uid="{CD11FA23-65EE-4294-9893-20AA09BBF118}">
      <text>
        <r>
          <rPr>
            <b/>
            <sz val="9"/>
            <color indexed="81"/>
            <rFont val="Tahoma"/>
            <charset val="1"/>
          </rPr>
          <t>Sean Stanley:</t>
        </r>
        <r>
          <rPr>
            <sz val="9"/>
            <color indexed="81"/>
            <rFont val="Tahoma"/>
            <charset val="1"/>
          </rPr>
          <t xml:space="preserve">
double check only needing DJ</t>
        </r>
      </text>
    </comment>
    <comment ref="C48" authorId="0" shapeId="0" xr:uid="{142E0093-BA78-45B6-AFF3-B8CC460DFBDA}">
      <text>
        <r>
          <rPr>
            <b/>
            <sz val="9"/>
            <color indexed="81"/>
            <rFont val="Tahoma"/>
            <charset val="1"/>
          </rPr>
          <t>Sean Stanley:</t>
        </r>
        <r>
          <rPr>
            <sz val="9"/>
            <color indexed="81"/>
            <rFont val="Tahoma"/>
            <charset val="1"/>
          </rPr>
          <t xml:space="preserve">
double check only needing DJ</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Sean Stanley</author>
  </authors>
  <commentList>
    <comment ref="Q4" authorId="0" shapeId="0" xr:uid="{EDBD2F48-E2FA-4B79-A54A-9BD458D26325}">
      <text>
        <r>
          <rPr>
            <b/>
            <sz val="9"/>
            <color indexed="81"/>
            <rFont val="Tahoma"/>
            <family val="2"/>
          </rPr>
          <t>Sean Stanley:</t>
        </r>
        <r>
          <rPr>
            <sz val="9"/>
            <color indexed="81"/>
            <rFont val="Tahoma"/>
            <family val="2"/>
          </rPr>
          <t xml:space="preserve">
separated just in case this wants to be considered part of dark mine. Doesn't matter, it's all accessible together at this point in the game</t>
        </r>
      </text>
    </comment>
    <comment ref="N5" authorId="0" shapeId="0" xr:uid="{36EEF377-261F-47CC-AD58-521081F75DDA}">
      <text>
        <r>
          <rPr>
            <b/>
            <sz val="9"/>
            <color indexed="81"/>
            <rFont val="Tahoma"/>
            <family val="2"/>
          </rPr>
          <t>Sean Stanley:</t>
        </r>
        <r>
          <rPr>
            <sz val="9"/>
            <color indexed="81"/>
            <rFont val="Tahoma"/>
            <family val="2"/>
          </rPr>
          <t xml:space="preserve">
includes 70 that I'm not sure if is right. Right after 3 metal chests before moneybags and before robo guy by chargeable rocks</t>
        </r>
      </text>
    </comment>
    <comment ref="E9" authorId="0" shapeId="0" xr:uid="{CD5343EE-BE88-44CF-8CBC-2833EECD636B}">
      <text>
        <r>
          <rPr>
            <b/>
            <sz val="9"/>
            <color indexed="81"/>
            <rFont val="Tahoma"/>
            <family val="2"/>
          </rPr>
          <t>Sean Stanley:</t>
        </r>
        <r>
          <rPr>
            <sz val="9"/>
            <color indexed="81"/>
            <rFont val="Tahoma"/>
            <family val="2"/>
          </rPr>
          <t xml:space="preserve">
WI not strictly necessary to get the 2 phoenixes, firework chest, and 131 immediates after. My gem logic starts requiring WI at the first fire imp but could be changed</t>
        </r>
      </text>
    </comment>
    <comment ref="E13" authorId="0" shapeId="0" xr:uid="{B7B60B25-0A96-4FF5-AECF-94C253A091B3}">
      <text>
        <r>
          <rPr>
            <b/>
            <sz val="9"/>
            <color indexed="81"/>
            <rFont val="Tahoma"/>
            <family val="2"/>
          </rPr>
          <t>Sean Stanley:</t>
        </r>
        <r>
          <rPr>
            <sz val="9"/>
            <color indexed="81"/>
            <rFont val="Tahoma"/>
            <family val="2"/>
          </rPr>
          <t xml:space="preserve">
enemy kill options involving ice still listed as that here since Ice is not strictly required</t>
        </r>
      </text>
    </comment>
    <comment ref="A17" authorId="0" shapeId="0" xr:uid="{522FE544-FB3E-40A7-BD98-887FD1E83997}">
      <text>
        <r>
          <rPr>
            <b/>
            <sz val="9"/>
            <color indexed="81"/>
            <rFont val="Tahoma"/>
            <family val="2"/>
          </rPr>
          <t>Sean Stanley:</t>
        </r>
        <r>
          <rPr>
            <sz val="9"/>
            <color indexed="81"/>
            <rFont val="Tahoma"/>
            <family val="2"/>
          </rPr>
          <t xml:space="preserve">
includes 50 on ground in ship area and past the moving platforms. Also the area leaving the hub</t>
        </r>
      </text>
    </comment>
    <comment ref="N19" authorId="0" shapeId="0" xr:uid="{A9A7397D-6C37-4C82-81C9-B620B7EC9C8B}">
      <text>
        <r>
          <rPr>
            <b/>
            <sz val="9"/>
            <color indexed="81"/>
            <rFont val="Tahoma"/>
            <family val="2"/>
          </rPr>
          <t>Sean Stanley:</t>
        </r>
        <r>
          <rPr>
            <sz val="9"/>
            <color indexed="81"/>
            <rFont val="Tahoma"/>
            <family val="2"/>
          </rPr>
          <t xml:space="preserve">
includes small robo gnorcs which are chargeable</t>
        </r>
      </text>
    </comment>
    <comment ref="I20" authorId="0" shapeId="0" xr:uid="{22F1A885-3718-4762-AE3D-49D3B07EB40D}">
      <text>
        <r>
          <rPr>
            <b/>
            <sz val="9"/>
            <color indexed="81"/>
            <rFont val="Tahoma"/>
            <charset val="1"/>
          </rPr>
          <t>Sean Stanley:</t>
        </r>
        <r>
          <rPr>
            <sz val="9"/>
            <color indexed="81"/>
            <rFont val="Tahoma"/>
            <charset val="1"/>
          </rPr>
          <t xml:space="preserve">
meant to be unarmored?</t>
        </r>
      </text>
    </comment>
    <comment ref="M22" authorId="0" shapeId="0" xr:uid="{877A9905-D140-46BD-8D02-839B283C9EB1}">
      <text>
        <r>
          <rPr>
            <b/>
            <sz val="9"/>
            <color indexed="81"/>
            <rFont val="Tahoma"/>
            <family val="2"/>
          </rPr>
          <t>Sean Stanley:</t>
        </r>
        <r>
          <rPr>
            <sz val="9"/>
            <color indexed="81"/>
            <rFont val="Tahoma"/>
            <family val="2"/>
          </rPr>
          <t xml:space="preserve">
does not include 2 baskets at start of caged room that are technically gettable without E</t>
        </r>
      </text>
    </comment>
    <comment ref="M23" authorId="0" shapeId="0" xr:uid="{7A89D1BF-07A8-430C-9B94-26B59CC8E769}">
      <text>
        <r>
          <rPr>
            <b/>
            <sz val="9"/>
            <color indexed="81"/>
            <rFont val="Tahoma"/>
            <family val="2"/>
          </rPr>
          <t>Sean Stanley:</t>
        </r>
        <r>
          <rPr>
            <sz val="9"/>
            <color indexed="81"/>
            <rFont val="Tahoma"/>
            <family val="2"/>
          </rPr>
          <t xml:space="preserve">
includes middle robo-gnorcs (armored)</t>
        </r>
      </text>
    </comment>
    <comment ref="F25" authorId="0" shapeId="0" xr:uid="{C9E47042-FE40-4458-9BEF-31F9CCE781BA}">
      <text>
        <r>
          <rPr>
            <b/>
            <sz val="9"/>
            <color indexed="81"/>
            <rFont val="Tahoma"/>
            <family val="2"/>
          </rPr>
          <t>Sean Stanley:</t>
        </r>
        <r>
          <rPr>
            <sz val="9"/>
            <color indexed="81"/>
            <rFont val="Tahoma"/>
            <family val="2"/>
          </rPr>
          <t xml:space="preserve">
almost certainly meant to be 30. but they spread out and I save state screwed myself</t>
        </r>
      </text>
    </comment>
    <comment ref="N25" authorId="0" shapeId="0" xr:uid="{00E39766-27F0-4A5F-A9AE-F6F3CD2ADE47}">
      <text>
        <r>
          <rPr>
            <b/>
            <sz val="9"/>
            <color indexed="81"/>
            <rFont val="Tahoma"/>
            <family val="2"/>
          </rPr>
          <t>Sean Stanley:</t>
        </r>
        <r>
          <rPr>
            <sz val="9"/>
            <color indexed="81"/>
            <rFont val="Tahoma"/>
            <family val="2"/>
          </rPr>
          <t xml:space="preserve">
includes 20(?) from small robo gnorc you have to awkwardly charge from above to get. By the headbash switch thing</t>
        </r>
      </text>
    </comment>
    <comment ref="J26" authorId="0" shapeId="0" xr:uid="{C1F4C8DE-FA47-4A7D-973A-0F4DD3CEFC36}">
      <text>
        <r>
          <rPr>
            <b/>
            <sz val="9"/>
            <color indexed="81"/>
            <rFont val="Tahoma"/>
            <family val="2"/>
          </rPr>
          <t>Sean Stanley:</t>
        </r>
        <r>
          <rPr>
            <sz val="9"/>
            <color indexed="81"/>
            <rFont val="Tahoma"/>
            <family val="2"/>
          </rPr>
          <t xml:space="preserve">
average of 5 was 1222.38</t>
        </r>
      </text>
    </comment>
    <comment ref="K26" authorId="0" shapeId="0" xr:uid="{99A5882A-BFEC-4D8F-89D2-60969051D383}">
      <text>
        <r>
          <rPr>
            <b/>
            <sz val="9"/>
            <color indexed="81"/>
            <rFont val="Tahoma"/>
            <charset val="1"/>
          </rPr>
          <t>Sean Stanley:</t>
        </r>
        <r>
          <rPr>
            <sz val="9"/>
            <color indexed="81"/>
            <rFont val="Tahoma"/>
            <charset val="1"/>
          </rPr>
          <t xml:space="preserve">
double check needing just ball gadget</t>
        </r>
      </text>
    </comment>
    <comment ref="J27" authorId="0" shapeId="0" xr:uid="{34B0BF9F-BE1B-4305-BAA8-78BB4E75CA6D}">
      <text>
        <r>
          <rPr>
            <b/>
            <sz val="9"/>
            <color indexed="81"/>
            <rFont val="Tahoma"/>
            <family val="2"/>
          </rPr>
          <t>Sean Stanley:</t>
        </r>
        <r>
          <rPr>
            <sz val="9"/>
            <color indexed="81"/>
            <rFont val="Tahoma"/>
            <family val="2"/>
          </rPr>
          <t xml:space="preserve">
average of 4 was 1097.5</t>
        </r>
      </text>
    </comment>
  </commentList>
</comments>
</file>

<file path=xl/sharedStrings.xml><?xml version="1.0" encoding="utf-8"?>
<sst xmlns="http://schemas.openxmlformats.org/spreadsheetml/2006/main" count="7234" uniqueCount="1217">
  <si>
    <t>Description</t>
  </si>
  <si>
    <t>Amount</t>
  </si>
  <si>
    <t>N/A</t>
  </si>
  <si>
    <t>None</t>
  </si>
  <si>
    <t>On Ground</t>
  </si>
  <si>
    <t>Chests/Baskets</t>
  </si>
  <si>
    <t>DJ</t>
  </si>
  <si>
    <t>DJ &amp; Glide</t>
  </si>
  <si>
    <t>Immediate (on ground + chests/baskets)</t>
  </si>
  <si>
    <t>Middle Gnorc (unarmored) in room</t>
  </si>
  <si>
    <t>2 Huge Gnorcs (unarmored)</t>
  </si>
  <si>
    <t>FE or Ice + Charge</t>
  </si>
  <si>
    <t>FE or I + Charge or Charge</t>
  </si>
  <si>
    <t>Huge Gnorc (unarmored) outside</t>
  </si>
  <si>
    <t>FE or I + Charge</t>
  </si>
  <si>
    <t>Huge Gnorc (armored) in cave</t>
  </si>
  <si>
    <t>FE + Charge or I + Charge</t>
  </si>
  <si>
    <t>Armored Chest (firework)</t>
  </si>
  <si>
    <t>F</t>
  </si>
  <si>
    <t>Region Reqs</t>
  </si>
  <si>
    <t>Individual Reqs</t>
  </si>
  <si>
    <t>Hunter Area Pre-Glide</t>
  </si>
  <si>
    <t>2 Huge Gnorc (armored)</t>
  </si>
  <si>
    <t>Starting Area</t>
  </si>
  <si>
    <t>Immediate (on ground)</t>
  </si>
  <si>
    <t>Baskets</t>
  </si>
  <si>
    <t>FEWI or Charge or DJ</t>
  </si>
  <si>
    <t>Metal Chests</t>
  </si>
  <si>
    <t>E or Charge or DJ</t>
  </si>
  <si>
    <t>Dark Shards</t>
  </si>
  <si>
    <t>Charge or DJ</t>
  </si>
  <si>
    <t>Breakable Wall Near Elder</t>
  </si>
  <si>
    <t>Charge</t>
  </si>
  <si>
    <t>Post-Dark Gem by Ember</t>
  </si>
  <si>
    <t>Armored Chest before bridge (firework)</t>
  </si>
  <si>
    <t>Ball Gadget Area (post-Hunter)</t>
  </si>
  <si>
    <t>Immediate (on ground + baskets)</t>
  </si>
  <si>
    <t>Immediate (on ground + baskets + chests)</t>
  </si>
  <si>
    <t>Post-Double Jump Ledge Next to Lab</t>
  </si>
  <si>
    <t>Charge + Glide</t>
  </si>
  <si>
    <t>Lab Path</t>
  </si>
  <si>
    <t>DJ &amp; Charge</t>
  </si>
  <si>
    <t>2 Gnorc Archers</t>
  </si>
  <si>
    <t>Immediate (on ground + chests + baskets + dark shards)</t>
  </si>
  <si>
    <t>Crocoviles + Critters</t>
  </si>
  <si>
    <t>Crocovile</t>
  </si>
  <si>
    <t>Mini Pyramid (Crocovile Gate)</t>
  </si>
  <si>
    <t>Baskets + Chests behind gate</t>
  </si>
  <si>
    <t>Mini Pyramid (Electric Gate)</t>
  </si>
  <si>
    <t>E</t>
  </si>
  <si>
    <t>Crocoviles</t>
  </si>
  <si>
    <t>Chests + Baskets</t>
  </si>
  <si>
    <t>3 Baskets behind chargeable thing</t>
  </si>
  <si>
    <t>Metal Chest behind chargeable thing in Elder's tree</t>
  </si>
  <si>
    <t>Pole Spin</t>
  </si>
  <si>
    <t>Pole Spinning in Elder's Tree area</t>
  </si>
  <si>
    <t>Baskets + Chests</t>
  </si>
  <si>
    <t>Armored Chest (firework at top of tree)</t>
  </si>
  <si>
    <t>Armored Chest (firework at middle of tree)</t>
  </si>
  <si>
    <t>Pole Spin + Charge or Glide</t>
  </si>
  <si>
    <t>Cave via Pole Spinning a bit away from Blink</t>
  </si>
  <si>
    <t>Metal Chest</t>
  </si>
  <si>
    <t>Pole Spinning above Blink</t>
  </si>
  <si>
    <t>3 Baskets</t>
  </si>
  <si>
    <t>Immediate Access</t>
  </si>
  <si>
    <t>2 Armored Chests on pyramid (cannon)</t>
  </si>
  <si>
    <t>Glide</t>
  </si>
  <si>
    <t>5 Armored Chests (supercharge)</t>
  </si>
  <si>
    <t>2 metal chests behind supercharge door</t>
  </si>
  <si>
    <t>Supercharge</t>
  </si>
  <si>
    <t>Armored Chest (firework in area after pyramid dark gem)</t>
  </si>
  <si>
    <t>SWAMP TOTAL</t>
  </si>
  <si>
    <t>Ball Gadget Path</t>
  </si>
  <si>
    <t>5 Dark Shards behind chargeable wall with dark gem</t>
  </si>
  <si>
    <t>Chests + Baskets behind chargeable walls</t>
  </si>
  <si>
    <t>Chargeable Walls</t>
  </si>
  <si>
    <t>3 Goats</t>
  </si>
  <si>
    <t>FE</t>
  </si>
  <si>
    <t>Crocoviles + Shepherd</t>
  </si>
  <si>
    <t>Immediate (on ground + Chests + Baskets)</t>
  </si>
  <si>
    <t>Plants + Huge Gnorcs (unarmored)</t>
  </si>
  <si>
    <t>Light Gem Door</t>
  </si>
  <si>
    <t>Light Gems</t>
  </si>
  <si>
    <t>Immediate (on ground + chests + baskets)</t>
  </si>
  <si>
    <t>Huge Gnorcs (unarmored)</t>
  </si>
  <si>
    <t>Huge Gnorcs (armored)</t>
  </si>
  <si>
    <t>Blue Monkeys</t>
  </si>
  <si>
    <t>Below whirlwind behind chargeable wall</t>
  </si>
  <si>
    <t>Plant + Huge Gnorcs (unarmored)</t>
  </si>
  <si>
    <t>Swim</t>
  </si>
  <si>
    <t>Underwater in Piranha Area</t>
  </si>
  <si>
    <t>Hunter Section</t>
  </si>
  <si>
    <t>Immediate (almost everything)</t>
  </si>
  <si>
    <t>Behind first explode-y arrow wall</t>
  </si>
  <si>
    <t>1 Explosive Arrow</t>
  </si>
  <si>
    <t>2 Metal chests in distance</t>
  </si>
  <si>
    <t>DRAGONFLY FALLS TOTAL</t>
  </si>
  <si>
    <t>DRAGON VILLAGE TOTAL</t>
  </si>
  <si>
    <t>Coastal Remains (requires access card)</t>
  </si>
  <si>
    <t>COASTAL REMAINS TOTAL</t>
  </si>
  <si>
    <t>On ground</t>
  </si>
  <si>
    <t>Metal Crates</t>
  </si>
  <si>
    <t>Immediate (upon Coastal Remains access)</t>
  </si>
  <si>
    <t>Headbash Crates</t>
  </si>
  <si>
    <t>Large blue crabs</t>
  </si>
  <si>
    <t>E or I + Charge or Charge + DJ</t>
  </si>
  <si>
    <t>Swimming in Southern Beach</t>
  </si>
  <si>
    <t>Underwater vases</t>
  </si>
  <si>
    <t>North Piranha Pool</t>
  </si>
  <si>
    <t>Pygmy Cannibal (small) in mini pathway</t>
  </si>
  <si>
    <t>Baskets + Crates in mini pathway</t>
  </si>
  <si>
    <t>Immediate near dragon egg</t>
  </si>
  <si>
    <t>Gnorc Archers + Middle Gnorcs (unarmored)</t>
  </si>
  <si>
    <t>Light Gem Door (Immediate)</t>
  </si>
  <si>
    <t>Light Gem Door (DJ)</t>
  </si>
  <si>
    <t>Light Gems + DJ</t>
  </si>
  <si>
    <t>Gnorc Archers up high</t>
  </si>
  <si>
    <t>Immediate (baskets + crates up high)</t>
  </si>
  <si>
    <t>Huge Gnorc (armored) up high</t>
  </si>
  <si>
    <t>Pole Spin Area</t>
  </si>
  <si>
    <t>Underwater vases + clams</t>
  </si>
  <si>
    <t>Huge Gnorc (unarmored) by Dark Gem</t>
  </si>
  <si>
    <t>4 Armored Chests by Dark Gem</t>
  </si>
  <si>
    <t>Glide or Pole Spin</t>
  </si>
  <si>
    <t>2 Baskets on the way to Egg</t>
  </si>
  <si>
    <t>DJ + Glide</t>
  </si>
  <si>
    <t>2 Armored Chests by Egg</t>
  </si>
  <si>
    <t>On ground post-cannon door</t>
  </si>
  <si>
    <t>Pygmy Cannibals from hut</t>
  </si>
  <si>
    <t>Huge Gnorc (armored)</t>
  </si>
  <si>
    <t>2 Baskets next to Huge Gnorc</t>
  </si>
  <si>
    <t>DJ + Glide + E</t>
  </si>
  <si>
    <t>Immediate after Electric Platform (on ground + baskets + chests + crabs)</t>
  </si>
  <si>
    <t>Huge Gnorc (armored) after Electric Platform</t>
  </si>
  <si>
    <t>Huge Gnorc (unarmored) on way to Otto's pool</t>
  </si>
  <si>
    <t>Middle Gnorcs (unarmored) + Critters + Pygmy Cannibals + orange crabs</t>
  </si>
  <si>
    <t>Left Path of Otto's Pool (DJ + Pole Spin)</t>
  </si>
  <si>
    <t>DJ + Pole Spin</t>
  </si>
  <si>
    <t>Cloudy Domain Entrance Area (DJ + Glide)</t>
  </si>
  <si>
    <t>Pinwheel Area on the way to Cloudy Domain (DJ)</t>
  </si>
  <si>
    <t>Immediate (on ground + Baskets + chests)</t>
  </si>
  <si>
    <t>Gnorc Archers + Pygmy Cannibals</t>
  </si>
  <si>
    <t>Underwater near Sunken Ruins Entrance</t>
  </si>
  <si>
    <t>DJ + Pole Spin + Swim</t>
  </si>
  <si>
    <t>2 Headbash chests in Otto's Pool (needs pool filled)</t>
  </si>
  <si>
    <t>CLOUDY DOMAIN TOTAL</t>
  </si>
  <si>
    <t>Cloudy Domain (requires DJ + Glide)</t>
  </si>
  <si>
    <t>Small Gnorcs (flying)</t>
  </si>
  <si>
    <t>Middle Gnorcs (flying) + Small Gnorcs (flying)</t>
  </si>
  <si>
    <t>On ground + baskets + chests + dark shards</t>
  </si>
  <si>
    <t>Middle Gnorcs (armored)</t>
  </si>
  <si>
    <t>FE + Charge or I + Charge or Charge</t>
  </si>
  <si>
    <t>Metal Chests behind Supercharge Door</t>
  </si>
  <si>
    <t>3 Armored Chests before Elder</t>
  </si>
  <si>
    <t>Balloon Gnorcs</t>
  </si>
  <si>
    <t>Post-Elder (Charge)</t>
  </si>
  <si>
    <t>Wing Shield</t>
  </si>
  <si>
    <t>Middle Gnorcs + Small Gnorcs (flying)</t>
  </si>
  <si>
    <t>Left of Start (Charge)</t>
  </si>
  <si>
    <t>on ground + Baskets + chests + dark shards</t>
  </si>
  <si>
    <t>Huge Gnorc (unarmored)</t>
  </si>
  <si>
    <t>Armored Chest (firework right before light gem)</t>
  </si>
  <si>
    <t>On Ground + baskets + chests</t>
  </si>
  <si>
    <t>Right of Start (Charge) leading to orbiting platforms and Sgt. Byrd</t>
  </si>
  <si>
    <t>Ball Gadget</t>
  </si>
  <si>
    <t>Ball Gadget (dragon egg)</t>
  </si>
  <si>
    <t>Ball Gadget (light gem)</t>
  </si>
  <si>
    <t>Armored Chest at start (firework post-ball gadget)</t>
  </si>
  <si>
    <t>On the Way to Ineptune (Dark Gems)</t>
  </si>
  <si>
    <t>Orange Crabs</t>
  </si>
  <si>
    <t>Sunken Ruins (requires DJ + Pole Spin)</t>
  </si>
  <si>
    <t>SUNKEN RUINS TOTAL</t>
  </si>
  <si>
    <t>On ground + chests + baskets + shards</t>
  </si>
  <si>
    <t>Mer-Gnorc</t>
  </si>
  <si>
    <t>Critters, Mer-Gnorc</t>
  </si>
  <si>
    <t>Immediate</t>
  </si>
  <si>
    <t>Underwater stuff (mer-gnorcs, vases, clams)</t>
  </si>
  <si>
    <t>Underwater Past Start (needs swim)</t>
  </si>
  <si>
    <t>Swim + Glide</t>
  </si>
  <si>
    <t>Armored Chests (firework up the whirlwinds)</t>
  </si>
  <si>
    <t>Immediates up the whirlwinds</t>
  </si>
  <si>
    <t>Immediate after swim and in whirlwind room</t>
  </si>
  <si>
    <t>Immediate underwater</t>
  </si>
  <si>
    <t>Blue Crabs</t>
  </si>
  <si>
    <t>Chest + Basket near light gem after invince section</t>
  </si>
  <si>
    <t>Swim + Invincibility</t>
  </si>
  <si>
    <t>Upper Section of Wall Kick Invince Room</t>
  </si>
  <si>
    <t>Swim + Wall Kick + Invincibility</t>
  </si>
  <si>
    <t>Mer-Gnorc, Critters</t>
  </si>
  <si>
    <t>3 Armored Chests further below (firework up high)</t>
  </si>
  <si>
    <t>Mer-gnorcs</t>
  </si>
  <si>
    <t>Swim + E</t>
  </si>
  <si>
    <t>After First Underwater Section (needs swim)</t>
  </si>
  <si>
    <t>Second Underwater Section (needs swim)</t>
  </si>
  <si>
    <t>After Second Underwater Section (needs swim)</t>
  </si>
  <si>
    <t>Past Electric Platform (needs swim + E)</t>
  </si>
  <si>
    <t>Dark Shards above Invince</t>
  </si>
  <si>
    <t>Swim + E + Glide</t>
  </si>
  <si>
    <t>Swim + E + Invince</t>
  </si>
  <si>
    <t>Past Invincibility Swim (needs swim + E + invince)</t>
  </si>
  <si>
    <t>Immediate via gliding next to firework</t>
  </si>
  <si>
    <t>Swim + E + Invince + Glide</t>
  </si>
  <si>
    <t>3 Armored Chests below (firework after dark gem)</t>
  </si>
  <si>
    <t>Rest of Dark Gem Statue room and beyond (needs swim + E + invince + glide)</t>
  </si>
  <si>
    <t>LOST CITIES TOTAL</t>
  </si>
  <si>
    <t>GAME TOTAL</t>
  </si>
  <si>
    <t>DRAGON KINGDOM TOTAL</t>
  </si>
  <si>
    <t>Frostbite Village (requires access card, later on requires return via Gloomy Glacier)</t>
  </si>
  <si>
    <t>FROSTBITE VILLAGE TOTAL</t>
  </si>
  <si>
    <t>Immediate (near light gem after floating platform)</t>
  </si>
  <si>
    <t>EW + DJ</t>
  </si>
  <si>
    <t>Beyond Headbash Switch at Start (needs DJ)</t>
  </si>
  <si>
    <t>Immediate (on ground + Baskets + crates)</t>
  </si>
  <si>
    <t>Eskimoles (small)</t>
  </si>
  <si>
    <t>FE or Charge</t>
  </si>
  <si>
    <t>Middle Gnorcs (unarmored)</t>
  </si>
  <si>
    <t>Eskimole under snowman</t>
  </si>
  <si>
    <t>Beyond Penguin Dude (needs a few things, at minimum E)</t>
  </si>
  <si>
    <t>Eskimoles on Ice</t>
  </si>
  <si>
    <t>Baskets on Ice</t>
  </si>
  <si>
    <t>FEWI or Charge</t>
  </si>
  <si>
    <t>DJ + Wall Kick</t>
  </si>
  <si>
    <t>Middle Gnorc (unarmored)</t>
  </si>
  <si>
    <t>gems behind chargeable wall</t>
  </si>
  <si>
    <t>DJ + Wall Kick + Charge</t>
  </si>
  <si>
    <t>DJ + Wall Kick + Glide</t>
  </si>
  <si>
    <t>immediate beyond big cannon ball thing</t>
  </si>
  <si>
    <t>Eskimole on the small platform thing</t>
  </si>
  <si>
    <t>Gloomy Glacier (requires DJ)</t>
  </si>
  <si>
    <t>All of Level lol</t>
  </si>
  <si>
    <t>Armored Chest a bit into cave section</t>
  </si>
  <si>
    <t>1 Explode-y Arrow</t>
  </si>
  <si>
    <t>Armored Chest in distance by bullseye you hit to open gate</t>
  </si>
  <si>
    <t>4 Frozen Gems</t>
  </si>
  <si>
    <t>1 Explode-y Arrow each (4 total)</t>
  </si>
  <si>
    <t>8 Steel Traps</t>
  </si>
  <si>
    <t>1 Explode-y Arrow each (8 total)</t>
  </si>
  <si>
    <t>Everything lol</t>
  </si>
  <si>
    <t>GLOOMY GLACIER TOTAL</t>
  </si>
  <si>
    <t>ICE CITADEL TOTAL</t>
  </si>
  <si>
    <t>Ice Citadel (requires DJ)</t>
  </si>
  <si>
    <t>Steel Traps</t>
  </si>
  <si>
    <t>E or I + Charge</t>
  </si>
  <si>
    <t>Middle gnorcs (armored)</t>
  </si>
  <si>
    <t>3 Baskets you can't DJ to break</t>
  </si>
  <si>
    <t>Firework chest</t>
  </si>
  <si>
    <t>Middle gnorcs (unarmored) + Gnorc Archers</t>
  </si>
  <si>
    <t>Firework chest + 3 Armored chests (firework by water wheel)</t>
  </si>
  <si>
    <t>Beyond Water Wheel (needs W)</t>
  </si>
  <si>
    <t>W</t>
  </si>
  <si>
    <t>Yeti + Middle gnorcs (unarmored)</t>
  </si>
  <si>
    <t>Headbash rock thing behind chargeable wall</t>
  </si>
  <si>
    <t>W + Charge</t>
  </si>
  <si>
    <t>Past Elder (needs W + Wall Kick)</t>
  </si>
  <si>
    <t>W + Wall Kick</t>
  </si>
  <si>
    <t>Gnorc Archer</t>
  </si>
  <si>
    <t>Ice Monster</t>
  </si>
  <si>
    <t>Mini Path back to Queen (needs W + Wall Kick + E)</t>
  </si>
  <si>
    <t>W + Wall Kick + E</t>
  </si>
  <si>
    <t>10 Armored chests (cannon after queen)</t>
  </si>
  <si>
    <t>Middle Gnorc (unarmored) + Yeti</t>
  </si>
  <si>
    <t>Armored Chests (supercharge)</t>
  </si>
  <si>
    <t>W + Wall Kick + Supercharge</t>
  </si>
  <si>
    <t>Immediates past supercharge doors (tunnels + door next to drawbridge)</t>
  </si>
  <si>
    <t>Supercharging back to Frostbite Village (needs W + Wall Kick + Supercharge)</t>
  </si>
  <si>
    <t>Immediates</t>
  </si>
  <si>
    <t>Immediates (9 armored chests)</t>
  </si>
  <si>
    <t>Eskimoles</t>
  </si>
  <si>
    <t>Huge gnorc (unarmored)</t>
  </si>
  <si>
    <t>Middle gnorc (unarmored)</t>
  </si>
  <si>
    <t>Huge gnorc (armored)</t>
  </si>
  <si>
    <t>Eskimos in ice huts</t>
  </si>
  <si>
    <t>2 Armored Chests (cannon near light gem door)</t>
  </si>
  <si>
    <t>Wall Kicking before Mammoth Area (needs DJ + Wall Kick)</t>
  </si>
  <si>
    <t>DJ + W + Wall Kick + Supercharge</t>
  </si>
  <si>
    <t>Light Gem Door (needs DJ + W + Wall Kick + Supercharge + Light Gems)</t>
  </si>
  <si>
    <t>ICY WILDERNESS TOTAL</t>
  </si>
  <si>
    <t>Stormy Beach (requires access card)</t>
  </si>
  <si>
    <t>Immediate (upon Stormy Beach access)</t>
  </si>
  <si>
    <t>STORMY BEACH TOTAL</t>
  </si>
  <si>
    <t>2 Armored Chests (firework on the ship)</t>
  </si>
  <si>
    <t>Headbash Chest</t>
  </si>
  <si>
    <t>DJ in Hub (needs DJ)</t>
  </si>
  <si>
    <t>3 armored chests near shop (firework on ground level)</t>
  </si>
  <si>
    <t>Underwater vases by realm portal</t>
  </si>
  <si>
    <t>Gnorc archers</t>
  </si>
  <si>
    <t>Middle gnorcs (unarmored)</t>
  </si>
  <si>
    <t>Moving Platforms in Cave at End (needs DJ + Wall Kick + Glide)</t>
  </si>
  <si>
    <t>Middle gnorc (armored)</t>
  </si>
  <si>
    <t>Gnorc archers by chest</t>
  </si>
  <si>
    <t>2 armored chests (firework inside cave)</t>
  </si>
  <si>
    <t>Molten Mount (requires DJ + Glide)</t>
  </si>
  <si>
    <t>MOLTEN MOUNT TOTAL</t>
  </si>
  <si>
    <t>Steel traps</t>
  </si>
  <si>
    <t>Armored chest near start (firework)</t>
  </si>
  <si>
    <t>Armored chests near start (supercharge)</t>
  </si>
  <si>
    <t>WI</t>
  </si>
  <si>
    <t>Firework Chest</t>
  </si>
  <si>
    <t>Gliding Past Zoe (see notes)</t>
  </si>
  <si>
    <t>2 Phoenixes</t>
  </si>
  <si>
    <t>Immediates while jumping up</t>
  </si>
  <si>
    <t>Rock Monsters</t>
  </si>
  <si>
    <t>Huge gnorcs (armored)</t>
  </si>
  <si>
    <t>Huge gnorcs (unarmored)</t>
  </si>
  <si>
    <t>middle gnorcs (unarmored)</t>
  </si>
  <si>
    <t>Past Fire Imps (requires WI)</t>
  </si>
  <si>
    <t>Pole Spinning and Beyond (requires WI + Pole Spin)</t>
  </si>
  <si>
    <t>headbash rock thing under huge gnorc (unarmored)</t>
  </si>
  <si>
    <t>WI + Pole Spin</t>
  </si>
  <si>
    <t>Glitchy headbash thing heading north to dark gem in upper area</t>
  </si>
  <si>
    <t>WI + Pole Spin + Charge</t>
  </si>
  <si>
    <t>Immediates behind chargeable walls near end</t>
  </si>
  <si>
    <t>Firework chest (immediate)</t>
  </si>
  <si>
    <t>Firework chest (behind chargeable thing)</t>
  </si>
  <si>
    <t>Rock monster</t>
  </si>
  <si>
    <t>Armored chest (firework)</t>
  </si>
  <si>
    <t>Metal chests behind chargeable thing</t>
  </si>
  <si>
    <t>Immediates behind chargeable thing by moneybags</t>
  </si>
  <si>
    <t>Huge gnorc (armored) behind chargeable thing by moneybags</t>
  </si>
  <si>
    <t>Huge gnorcs (armored) by ball gadget</t>
  </si>
  <si>
    <t>Top</t>
  </si>
  <si>
    <t>MAGMA FALLS TOTAL</t>
  </si>
  <si>
    <t>Bottom (requires Ball Gadget)</t>
  </si>
  <si>
    <t>Magma Falls (requires DJ + Glide + WI + Pole Spin + Wall Kick)</t>
  </si>
  <si>
    <t>Metal chests behind chargeable things</t>
  </si>
  <si>
    <t>Ball Gadget + Charge</t>
  </si>
  <si>
    <t>Immediates behind Chargeable wall near end</t>
  </si>
  <si>
    <t>Dark Mine (requires DJ + Glide + WI + Pole Spin + Wall Kick + Ball Gadget)</t>
  </si>
  <si>
    <t>DARK MINE TOTAL</t>
  </si>
  <si>
    <t>Start</t>
  </si>
  <si>
    <t>Critters</t>
  </si>
  <si>
    <t>E or I + Charge or Charge</t>
  </si>
  <si>
    <t>Immediates behind chargeable wall things</t>
  </si>
  <si>
    <t>Light Gem Door (needs light gems)</t>
  </si>
  <si>
    <t>Huge robo-gnorcs</t>
  </si>
  <si>
    <t>Invince swimming (chests)</t>
  </si>
  <si>
    <t>Invince</t>
  </si>
  <si>
    <t>Haywire Robots (Drill)</t>
  </si>
  <si>
    <t>Haywire Robots (Spike)</t>
  </si>
  <si>
    <t>Haywire Robots (Roller)</t>
  </si>
  <si>
    <t>Past Chargeable Rocks (needs charge)</t>
  </si>
  <si>
    <t>3 armored chests (firework)</t>
  </si>
  <si>
    <t>Immediates up wall kick pistons</t>
  </si>
  <si>
    <t>Charge + Wall Kick</t>
  </si>
  <si>
    <t>Charge + E</t>
  </si>
  <si>
    <t>Charge + E + Ice</t>
  </si>
  <si>
    <t>Ice Pole Spinning and Beyond (needs charge + E + Ice)</t>
  </si>
  <si>
    <t>Room with Caged Dark Gem (needs Charge + E)</t>
  </si>
  <si>
    <t>3 armored chests by start (firework after ice and pole spin)</t>
  </si>
  <si>
    <t>Hallway to Lab</t>
  </si>
  <si>
    <t>Red's Lab (needs DJ + Glide + WI + Pole Spin + Wall Kick + Ball Gadget + charge + E + Ice)</t>
  </si>
  <si>
    <t>RED'S LAB TOTAL</t>
  </si>
  <si>
    <t>Lab -&gt; Center Room</t>
  </si>
  <si>
    <t>Southeast Area</t>
  </si>
  <si>
    <t>Immediates above furnace</t>
  </si>
  <si>
    <t>Northwest Area</t>
  </si>
  <si>
    <t>Northeast Area</t>
  </si>
  <si>
    <t>Immediates via invince</t>
  </si>
  <si>
    <t>Invincibility</t>
  </si>
  <si>
    <t>Southwest Area (heading to Mecha Red)</t>
  </si>
  <si>
    <t>Blink</t>
  </si>
  <si>
    <t>Blink 1</t>
  </si>
  <si>
    <t>Blink 2</t>
  </si>
  <si>
    <t>Sparx</t>
  </si>
  <si>
    <t>Sparx 1</t>
  </si>
  <si>
    <t>Sparx 2</t>
  </si>
  <si>
    <t>Hunter Area Post-Glide</t>
  </si>
  <si>
    <t>Crocoville Swamp (needs DJ)</t>
  </si>
  <si>
    <t>VOLCANIC ISLE TOTAL</t>
  </si>
  <si>
    <t>Dark Gems</t>
  </si>
  <si>
    <t>Pole Spinning beyond Final Dark Gem (furthest east room of map)</t>
  </si>
  <si>
    <t>DJ + W + Wall Kick + Supercharge + Pole Spin</t>
  </si>
  <si>
    <t>Light Gem Door part 2 (needs DJ + W + Wall Kick + Supercharge + Light Gems + Pole Spin)</t>
  </si>
  <si>
    <t>Light Gem Door part 3 (needs DJ + W + Wall Kick + Supercharge + Light Gems + Pole Spin + Glide)</t>
  </si>
  <si>
    <t>Light Gem Door icy swimming (needs DJ + W + Wall Kick + Supercharge + Light Gems + Pole Spin + Glide + Swim)</t>
  </si>
  <si>
    <t>Dragon Village (needs access card)</t>
  </si>
  <si>
    <t>Dragonfly Falls (needs DJ + Glide + Ball Gadget)</t>
  </si>
  <si>
    <t>Baskets behind chargeable wall by Elder</t>
  </si>
  <si>
    <t>Armored Chest before crocovile bridge (firework)</t>
  </si>
  <si>
    <t>Immediate post-crocovile bridge (on ground + baskets)</t>
  </si>
  <si>
    <t>Immediates post-double jump ledge</t>
  </si>
  <si>
    <t>On Ground hunter pre-glide</t>
  </si>
  <si>
    <t>Chests/Baskets hunter pre-glide</t>
  </si>
  <si>
    <t>Huge gnorc (unarmored) in cave hunter pre-glide</t>
  </si>
  <si>
    <t>Immediate (on ground + chests/baskets) ball gadget area</t>
  </si>
  <si>
    <t>Armored Chest (firework) ball gadget area</t>
  </si>
  <si>
    <t>2 Huge Gnorc (armored) ball gadget area</t>
  </si>
  <si>
    <t>armored chest (firework) in byrd area</t>
  </si>
  <si>
    <t>SUBTOTAL</t>
  </si>
  <si>
    <t>Huge gnorc (armored) above double jump ledge</t>
  </si>
  <si>
    <t>DJ + Charge</t>
  </si>
  <si>
    <t>F + Glide</t>
  </si>
  <si>
    <t>Crocovile Swamp (needs DJ)</t>
  </si>
  <si>
    <t>Crocovile in forgotten temple</t>
  </si>
  <si>
    <t>Baskets + Chests behind gate in temple</t>
  </si>
  <si>
    <t>Crocoviles in E gate of temple</t>
  </si>
  <si>
    <t>Chests + Baskets in E gate of temple</t>
  </si>
  <si>
    <t>Baskets + Chests in tree</t>
  </si>
  <si>
    <t>Crocovile in tree</t>
  </si>
  <si>
    <t>Armored Chest (firework at top of tree) in tree</t>
  </si>
  <si>
    <t>Armored Chest (firework at middle of tree) in tree</t>
  </si>
  <si>
    <t>Crocoviles in cave away from blink</t>
  </si>
  <si>
    <t>Metal Chest in cave away from  blink</t>
  </si>
  <si>
    <t>3 Baskets above blink</t>
  </si>
  <si>
    <t>missed 5 on test. Try again?</t>
  </si>
  <si>
    <t>Hunter Immediate (almost everything)</t>
  </si>
  <si>
    <t>Hunter Behind first explode-y arrow wall</t>
  </si>
  <si>
    <t>Hunter 2 Metal chests in distance</t>
  </si>
  <si>
    <t>Underwater vases in southern beach</t>
  </si>
  <si>
    <t>Pygmy Cannibal (small) in mini pathway across piranha pool</t>
  </si>
  <si>
    <t>Baskets + Crates in mini pathway across piranha pool</t>
  </si>
  <si>
    <t>Immediate near dragon egg across piranha pool</t>
  </si>
  <si>
    <t>Underwater vases + clams in pole spin area</t>
  </si>
  <si>
    <t>pole spin area Huge Gnorc (unarmored) by Dark Gem</t>
  </si>
  <si>
    <t>pole spin area 4 Armored Chests by Dark Gem</t>
  </si>
  <si>
    <t>pole spin area 2 Armored Chests by Egg</t>
  </si>
  <si>
    <t>pole spin area 2 Baskets on the way to Egg</t>
  </si>
  <si>
    <t>pole spin area On ground post-cannon door</t>
  </si>
  <si>
    <t>DJ + Glide + Pole Spin</t>
  </si>
  <si>
    <t>after first swim immediate</t>
  </si>
  <si>
    <t>after first swim Mer-Gnorc</t>
  </si>
  <si>
    <t>after first swim Immediates up the whirlwinds</t>
  </si>
  <si>
    <t>after first swim Armored Chests (firework up the whirlwinds)</t>
  </si>
  <si>
    <t>after second swim Immediate</t>
  </si>
  <si>
    <t>after second swim Blue Crabs</t>
  </si>
  <si>
    <t>after second swim Mer-Gnorc, Critters</t>
  </si>
  <si>
    <t>after second swim Chest + Basket near light gem after invince section</t>
  </si>
  <si>
    <t>invince wall kick 3 Armored Chests further below (firework up high)</t>
  </si>
  <si>
    <t>invince wall kick Mer-gnorcs</t>
  </si>
  <si>
    <t>first swim Underwater stuff (mer-gnorcs, vases, clams)</t>
  </si>
  <si>
    <t>first swim Immediate underwater</t>
  </si>
  <si>
    <t>second swim Immediate underwater</t>
  </si>
  <si>
    <t>second swim Underwater stuff (mer-gnorcs, vases, clams)</t>
  </si>
  <si>
    <t>CSEntry</t>
  </si>
  <si>
    <t>CSPoleSpin</t>
  </si>
  <si>
    <t>DVEntry</t>
  </si>
  <si>
    <t>DVDoubleJump</t>
  </si>
  <si>
    <t>DVGlide</t>
  </si>
  <si>
    <t>DVCharge</t>
  </si>
  <si>
    <t>DFEntry</t>
  </si>
  <si>
    <t>DFLightGemDoor</t>
  </si>
  <si>
    <t>CREntry</t>
  </si>
  <si>
    <t>CRDoubleJump</t>
  </si>
  <si>
    <t>CRLightGemDoor</t>
  </si>
  <si>
    <t>CRCloudyEntrance</t>
  </si>
  <si>
    <t>CRWateryTomb</t>
  </si>
  <si>
    <t>SREntry</t>
  </si>
  <si>
    <t>SRSwim</t>
  </si>
  <si>
    <t>SRElectric</t>
  </si>
  <si>
    <t>SRInvincibility</t>
  </si>
  <si>
    <t>SRGlide</t>
  </si>
  <si>
    <t>pinwheel area immediates</t>
  </si>
  <si>
    <t>pinwheel area pygmy hut</t>
  </si>
  <si>
    <t>CDWingShield</t>
  </si>
  <si>
    <t>CDEntry</t>
  </si>
  <si>
    <t>CDCharge</t>
  </si>
  <si>
    <t>CDBallGadget</t>
  </si>
  <si>
    <t>FVEntry</t>
  </si>
  <si>
    <t>FVEletric</t>
  </si>
  <si>
    <t>FVDoubleJump</t>
  </si>
  <si>
    <t>FVWallKickBeforeGlacier</t>
  </si>
  <si>
    <t>GGEntry</t>
  </si>
  <si>
    <t>ICEntry</t>
  </si>
  <si>
    <t>ICWater</t>
  </si>
  <si>
    <t>ICWallKick</t>
  </si>
  <si>
    <t>ICReturnToFV</t>
  </si>
  <si>
    <t>missing 5 on test</t>
  </si>
  <si>
    <t>W + Wall Kick + E + Pole Spin</t>
  </si>
  <si>
    <t>ICBehindQueen</t>
  </si>
  <si>
    <t>FVEntry2</t>
  </si>
  <si>
    <t>FVEastPoles</t>
  </si>
  <si>
    <t>FVLightGemDoorPoles</t>
  </si>
  <si>
    <t>FVLightGemDoorEntry</t>
  </si>
  <si>
    <t>FVLightGemDoorGlide</t>
  </si>
  <si>
    <t>Immediates under icy water</t>
  </si>
  <si>
    <t>Light Gems + Invince</t>
  </si>
  <si>
    <t>SBEntry</t>
  </si>
  <si>
    <t>SBDoubleJump</t>
  </si>
  <si>
    <t>SBUpperCave</t>
  </si>
  <si>
    <t>MMEntry</t>
  </si>
  <si>
    <t>initial gliding 2 Phoenixes</t>
  </si>
  <si>
    <t>initial gliding Immediates while jumping up</t>
  </si>
  <si>
    <t>initial gliding Firework Chest</t>
  </si>
  <si>
    <t>MMFireEnemies</t>
  </si>
  <si>
    <t>MMPoleSpin</t>
  </si>
  <si>
    <t>MFBallGadget</t>
  </si>
  <si>
    <t>DMEntry</t>
  </si>
  <si>
    <t>DMLightGemDoor</t>
  </si>
  <si>
    <t>DMCharge</t>
  </si>
  <si>
    <t>DMElectric</t>
  </si>
  <si>
    <t>DMIce</t>
  </si>
  <si>
    <t>RLEntry</t>
  </si>
  <si>
    <t>MFtEntry</t>
  </si>
  <si>
    <t>MFbEntry</t>
  </si>
  <si>
    <t>RLSouthEast</t>
  </si>
  <si>
    <t>RLNorthWest</t>
  </si>
  <si>
    <t>RLNorthEast</t>
  </si>
  <si>
    <t>RLSouthWest</t>
  </si>
  <si>
    <t>Byrd 1</t>
  </si>
  <si>
    <t>Byrd 2</t>
  </si>
  <si>
    <t>Charge + Wing Shield</t>
  </si>
  <si>
    <t>Charge + Supercharge</t>
  </si>
  <si>
    <t>Charge + Wing Shield + Ball Gadget</t>
  </si>
  <si>
    <t>Crabs in Otto's Pool</t>
  </si>
  <si>
    <t>Metal Chests in Otto's Pool</t>
  </si>
  <si>
    <t>Armored chests</t>
  </si>
  <si>
    <t>Armored enemies</t>
  </si>
  <si>
    <t>charge gates/walls</t>
  </si>
  <si>
    <t>Supercharge stuff</t>
  </si>
  <si>
    <t>Chargeable wall immediates</t>
  </si>
  <si>
    <t>Underwater stuff</t>
  </si>
  <si>
    <t>Pygmies</t>
  </si>
  <si>
    <t>Mer-gnorc, critters</t>
  </si>
  <si>
    <t>Underwater breakable stuff</t>
  </si>
  <si>
    <t>Eskimoles + middle gnorcs (unarmored)</t>
  </si>
  <si>
    <t>Immediates + armored chests</t>
  </si>
  <si>
    <t>Middle gnorcs (armored) + headbash behind chargeable wall</t>
  </si>
  <si>
    <t>Gnorc archers + middle gnorcs (unarmored)</t>
  </si>
  <si>
    <t>behind chargeable walls + middle armored gnorcs</t>
  </si>
  <si>
    <t>Firework chest + armored chest</t>
  </si>
  <si>
    <t>Chargeable things</t>
  </si>
  <si>
    <t>Chargeable wall things</t>
  </si>
  <si>
    <t>E or Charge</t>
  </si>
  <si>
    <t>Huge robo-gnorcs + steel traps</t>
  </si>
  <si>
    <t>FVWallKick</t>
  </si>
  <si>
    <t>MMWaterIce</t>
  </si>
  <si>
    <t>DJ + W + Wall Kick + Charge + Supercharge</t>
  </si>
  <si>
    <t>After Returning from Ice Citadel (needs DJ + W + Wall Kick + Charge + Supercharge)</t>
  </si>
  <si>
    <t>FE or I</t>
  </si>
  <si>
    <t>DJ + W + Wall Kick + Charge + Supercharge + Pole Spin</t>
  </si>
  <si>
    <t>DJ + W + Wall Kick + Charge + Supercharge + Light Gems</t>
  </si>
  <si>
    <t>DJ + W + Wall Kick + Charge + Supercharge + Light Gems + Pole Spin</t>
  </si>
  <si>
    <t>DJ + W + Wall Kick + Charge + Supercharge + Light Gems + Glide</t>
  </si>
  <si>
    <t>DJ + W + Wall Kick + Charge + Supercharge + Light Gems + Glide + Swim</t>
  </si>
  <si>
    <t>DJ + W + Wall Kick + Charge + Supercharge + Light Gems + Pole Spin + Glide</t>
  </si>
  <si>
    <t>DJ + W + Wall Kick + Charge + Supercharge + Light Gems + Pole Spin + Glide + Swim + Invince</t>
  </si>
  <si>
    <t>Huge gnorcs</t>
  </si>
  <si>
    <t>FVLGDoorEntry</t>
  </si>
  <si>
    <t>FVLGDoorGlide</t>
  </si>
  <si>
    <t>Immediates past pole spin</t>
  </si>
  <si>
    <t>CRGlide</t>
  </si>
  <si>
    <t>piranha pool + windmill area immediates</t>
  </si>
  <si>
    <t>pole spin area stuff by egg</t>
  </si>
  <si>
    <t>F + Charge or I + Charge</t>
  </si>
  <si>
    <t>Immediate after Electric Platform near cloudy</t>
  </si>
  <si>
    <t>Huge Gnorc (armored) after Electric Platform near cloudy</t>
  </si>
  <si>
    <t>SRWallKick</t>
  </si>
  <si>
    <t>Swim + E + Invince + Charge</t>
  </si>
  <si>
    <t>Swim + E + Invince + Charge + Glide</t>
  </si>
  <si>
    <t>Immediates (including gliding above swim rooms)</t>
  </si>
  <si>
    <t>W + Wall Kick + E + Pole Spin + Glide</t>
  </si>
  <si>
    <t>Light Gems + Invince + Swim</t>
  </si>
  <si>
    <t>F + Charge or E + Charge or I + Charge</t>
  </si>
  <si>
    <t>F or E or I + Charge</t>
  </si>
  <si>
    <t>F or E or Charge</t>
  </si>
  <si>
    <t>F or E or W or I r Charge or DJ</t>
  </si>
  <si>
    <t>F or E or W or I or Charge or DJ</t>
  </si>
  <si>
    <t>F or E</t>
  </si>
  <si>
    <t>F or E or W or I or Charge</t>
  </si>
  <si>
    <t>F or E or I</t>
  </si>
  <si>
    <t>Spyro + Hunter immediates + ball gadget</t>
  </si>
  <si>
    <t>CRPoleSpin</t>
  </si>
  <si>
    <t>Immediates + in otto's pool</t>
  </si>
  <si>
    <t>Byrd</t>
  </si>
  <si>
    <t>Everything else lol</t>
  </si>
  <si>
    <t>CRLGDoor</t>
  </si>
  <si>
    <t>Middle enemies + yeti</t>
  </si>
  <si>
    <t>spike robots + steel traps</t>
  </si>
  <si>
    <t>E or I</t>
  </si>
  <si>
    <t>BYRD TOTAL</t>
  </si>
  <si>
    <t>BLINK TOTAL</t>
  </si>
  <si>
    <t>SPARX TOTAL</t>
  </si>
  <si>
    <t>MINIGAME TOTAL</t>
  </si>
  <si>
    <t>NON-MINIGAME TOTAL</t>
  </si>
  <si>
    <t>NON-BLINK TOTAL</t>
  </si>
  <si>
    <t>E + DJ</t>
  </si>
  <si>
    <t>E + DJ + W</t>
  </si>
  <si>
    <t>Immediates under dark gem + eskimole under snowman</t>
  </si>
  <si>
    <t>Dragon Village</t>
  </si>
  <si>
    <t>on the ground</t>
  </si>
  <si>
    <t>True_()</t>
  </si>
  <si>
    <t>dark shards</t>
  </si>
  <si>
    <t>Has('Charge')</t>
  </si>
  <si>
    <t>metal chests</t>
  </si>
  <si>
    <t>baskets</t>
  </si>
  <si>
    <t>HasAny('Double Jump', 'Charge')</t>
  </si>
  <si>
    <t>HasAny('Double Jump', 'Charge', 'Electric Breath')</t>
  </si>
  <si>
    <t>HasAny('Double Jump', 'Charge', 'Fire Breath', 'Electric Breath', 'Water Breath', 'Ice Breath')</t>
  </si>
  <si>
    <t>baskets behind chargeable wall near elder</t>
  </si>
  <si>
    <t>Total from summing</t>
  </si>
  <si>
    <t>Actual total</t>
  </si>
  <si>
    <t>difference</t>
  </si>
  <si>
    <t>DVByrdLower</t>
  </si>
  <si>
    <t>headbash chest</t>
  </si>
  <si>
    <t>headbash chest + rock</t>
  </si>
  <si>
    <t>Has('Double Jump')</t>
  </si>
  <si>
    <t>And(Has('Charge'), HasAny('Fire Breath', 'Electric Breath', 'Ice Breath'))</t>
  </si>
  <si>
    <t>DVByrdUpper</t>
  </si>
  <si>
    <t>armored chest via firework</t>
  </si>
  <si>
    <t>Has('Fire Breath')</t>
  </si>
  <si>
    <t>DVLabSecret</t>
  </si>
  <si>
    <t>Byrd minigames</t>
  </si>
  <si>
    <t>DVTunnelToCroc</t>
  </si>
  <si>
    <t>armored chest via firework across bridge</t>
  </si>
  <si>
    <t>HasAll('Double Jump', 'Fire Breath')</t>
  </si>
  <si>
    <t>DVHunterPreGlide</t>
  </si>
  <si>
    <t>HasAll('Glide', 'Fire Breath')</t>
  </si>
  <si>
    <t>DVHunterPostGlide</t>
  </si>
  <si>
    <t>Or(HasAny('Fire Breath', 'Electric Breath'), HasAll('Ice Breath', 'Charge'))</t>
  </si>
  <si>
    <t>HasAny('Fire Breath', 'Electric Breath', 'Charge')</t>
  </si>
  <si>
    <t>Crocovile Swamp</t>
  </si>
  <si>
    <t>CSPyramidAndTemple</t>
  </si>
  <si>
    <t>baskets behind chargeable wall with switch</t>
  </si>
  <si>
    <t>CSInsideTemple</t>
  </si>
  <si>
    <t>CSInsideTempleElectric</t>
  </si>
  <si>
    <t>CSEast</t>
  </si>
  <si>
    <t>baskets and headbash chest on muddy platform</t>
  </si>
  <si>
    <t>CSEastPoles</t>
  </si>
  <si>
    <t>metal chest</t>
  </si>
  <si>
    <t>CSTree</t>
  </si>
  <si>
    <t>metal chest behind chargeable stump</t>
  </si>
  <si>
    <t>baskets in stump</t>
  </si>
  <si>
    <t>armored chest via firework in tree</t>
  </si>
  <si>
    <t>CSAboveElder</t>
  </si>
  <si>
    <t>armored chest via firework at top of tree</t>
  </si>
  <si>
    <t>HasAll('Double Jump', 'Pole Spin', 'Fire Breath')</t>
  </si>
  <si>
    <t>armored chests on pyramid vs cannon</t>
  </si>
  <si>
    <t>HasAll('Double Jump', 'Glide')</t>
  </si>
  <si>
    <t>armored chests via supercharge</t>
  </si>
  <si>
    <t>SuperchargeGadget()</t>
  </si>
  <si>
    <t>metal chests behind Perilous Pyramid supercharge door</t>
  </si>
  <si>
    <t>CSWest</t>
  </si>
  <si>
    <t>And(HasAny('Fire Breath', 'Electric Breath', 'Charge'), Has('Pole Spin'))</t>
  </si>
  <si>
    <t>metal chests behind guarded gate</t>
  </si>
  <si>
    <t>headbash chest behind guarded gate</t>
  </si>
  <si>
    <t>And(HasAny('Fire Breath', 'Electric Breath', 'Charge'), Has('Double Jump'))</t>
  </si>
  <si>
    <t>And(Has('Double Jump'), Or(HasAny('Fire Breath', 'Electric Breath'), HasAll('Ice Breath', 'Charge')))</t>
  </si>
  <si>
    <t>spider web baskets above Blink's poles</t>
  </si>
  <si>
    <t>metal chest above poles outside tree</t>
  </si>
  <si>
    <t>headbash chest above poles outside tree</t>
  </si>
  <si>
    <t>HasAll('Fire Breath', 'Pole Spin')</t>
  </si>
  <si>
    <t>And(Has('Pole Spin'), HasAny('Fire Breath', 'Electric Breath', 'Charge'))</t>
  </si>
  <si>
    <t>And(Has('Pole Spin'), HasAny('Double Jump', 'Charge', 'Electric Breath'))</t>
  </si>
  <si>
    <t>HasAll('Pole Spin', 'Double Jump')</t>
  </si>
  <si>
    <t>Dragonfly Falls</t>
  </si>
  <si>
    <t>DFBallGadget</t>
  </si>
  <si>
    <t>on ball gadget path</t>
  </si>
  <si>
    <t>DFSteepCanyon</t>
  </si>
  <si>
    <t>headbash chests</t>
  </si>
  <si>
    <t>on the ground behind chargeable walls</t>
  </si>
  <si>
    <t>metal chests behind chargeable walls</t>
  </si>
  <si>
    <t>headbash chests behind chargeable walls</t>
  </si>
  <si>
    <t>baskets behind chargeable walls</t>
  </si>
  <si>
    <t>dark shards behind chargeable wall</t>
  </si>
  <si>
    <t>headbash chest in second canyon area</t>
  </si>
  <si>
    <t>metal chests in second canyon area</t>
  </si>
  <si>
    <t>baskets in second canyon area</t>
  </si>
  <si>
    <t>DFAfterVultures</t>
  </si>
  <si>
    <t>DFElderStatue</t>
  </si>
  <si>
    <t>DFCoveAboveShop</t>
  </si>
  <si>
    <t>metal chest behind chargeable wall</t>
  </si>
  <si>
    <t>DFCoveShop</t>
  </si>
  <si>
    <t>DFCove</t>
  </si>
  <si>
    <t>underwater vases near piranhas</t>
  </si>
  <si>
    <t>on the ground as Hunter walks to his cave</t>
  </si>
  <si>
    <t>Hunter on the ground</t>
  </si>
  <si>
    <t>Hunter baskets</t>
  </si>
  <si>
    <t>Hunter headbash chest</t>
  </si>
  <si>
    <t>Hunter metal chests</t>
  </si>
  <si>
    <t>DFHunter</t>
  </si>
  <si>
    <t>Hunter metal chests using exploding arrows</t>
  </si>
  <si>
    <t>Hunter on ground using exploding arrows</t>
  </si>
  <si>
    <t>Sparx minigames</t>
  </si>
  <si>
    <t>Blink minigames</t>
  </si>
  <si>
    <t>DFLGDoorEntry</t>
  </si>
  <si>
    <t>on the ground by upper entrance</t>
  </si>
  <si>
    <t>basket</t>
  </si>
  <si>
    <t>baskets at lowest level</t>
  </si>
  <si>
    <t>baskets at middle level</t>
  </si>
  <si>
    <t>metal chest at middle level</t>
  </si>
  <si>
    <t>DFLGDoorShop</t>
  </si>
  <si>
    <t>baskets above DJ ledges</t>
  </si>
  <si>
    <t>metal chests behind chargeable wall</t>
  </si>
  <si>
    <t>on the ground behind chargeable wall</t>
  </si>
  <si>
    <t>headbash chest behind chargeable wall</t>
  </si>
  <si>
    <t>Coastal Remains</t>
  </si>
  <si>
    <t>underwater vases in southern beach</t>
  </si>
  <si>
    <t>CRPiranhas</t>
  </si>
  <si>
    <t>baskets up high</t>
  </si>
  <si>
    <t>headbash chest up high</t>
  </si>
  <si>
    <t>on the ground in the back</t>
  </si>
  <si>
    <t>baskets in the back</t>
  </si>
  <si>
    <t>basket on side path</t>
  </si>
  <si>
    <t>headbash chest on side path</t>
  </si>
  <si>
    <t>CRCannon</t>
  </si>
  <si>
    <t>armored chests by dark gem via cannon</t>
  </si>
  <si>
    <t>baskets by dragon egg</t>
  </si>
  <si>
    <t>armored chests by dragon egg via cannon</t>
  </si>
  <si>
    <t>on the ground after using cannon on reinforced door</t>
  </si>
  <si>
    <t>CRWindmills</t>
  </si>
  <si>
    <t>CRCloudyElevator</t>
  </si>
  <si>
    <t>baskets by shop</t>
  </si>
  <si>
    <t>on the ground after electric platform</t>
  </si>
  <si>
    <t>baskets after electric platform</t>
  </si>
  <si>
    <t>headbash chest after electric platform</t>
  </si>
  <si>
    <t>metal chests after electric platform</t>
  </si>
  <si>
    <t>CROttoPool</t>
  </si>
  <si>
    <t>metal chests in pool</t>
  </si>
  <si>
    <t>headbash chests once pool is filled</t>
  </si>
  <si>
    <t>HasAll('Double Jump', 'Pole Spin')</t>
  </si>
  <si>
    <t>CRWest</t>
  </si>
  <si>
    <t>on the ground past dark gem</t>
  </si>
  <si>
    <t>baskets past dark gem</t>
  </si>
  <si>
    <t>metal chests past dark gem</t>
  </si>
  <si>
    <t>on the ground heading to and at west beach</t>
  </si>
  <si>
    <t>headbash chests needing double jump</t>
  </si>
  <si>
    <t>Cloudy Domain</t>
  </si>
  <si>
    <t>CDCenter</t>
  </si>
  <si>
    <t>CDOutsideElder</t>
  </si>
  <si>
    <t>headbash purple things</t>
  </si>
  <si>
    <t>metal chests behind supercharge door</t>
  </si>
  <si>
    <t>armored chests via supercharge next to Elder's house</t>
  </si>
  <si>
    <t>CDInsideElder</t>
  </si>
  <si>
    <t>CDNorthEast</t>
  </si>
  <si>
    <t>CDNorthWest</t>
  </si>
  <si>
    <t>headbash purple thing</t>
  </si>
  <si>
    <t>on the ground and in the air</t>
  </si>
  <si>
    <t>CDSouthWest</t>
  </si>
  <si>
    <t>on the ground or temporary platforms</t>
  </si>
  <si>
    <t>in the air</t>
  </si>
  <si>
    <t>CDTallestTowerUpper</t>
  </si>
  <si>
    <t>in the air after Byrd</t>
  </si>
  <si>
    <t>ball gadget 1</t>
  </si>
  <si>
    <t>ball gadget 2</t>
  </si>
  <si>
    <t>armored chest via firework after ball gadget minigames</t>
  </si>
  <si>
    <t>Sunken Ruins</t>
  </si>
  <si>
    <t>dark shard</t>
  </si>
  <si>
    <t>SRSwim1</t>
  </si>
  <si>
    <t>underwater floating</t>
  </si>
  <si>
    <t>on the ground atop thermal</t>
  </si>
  <si>
    <t>armored chests via firework atop thermal</t>
  </si>
  <si>
    <t>basket atop thermal</t>
  </si>
  <si>
    <t>headbash chest atop thermal</t>
  </si>
  <si>
    <t>SRSwim2</t>
  </si>
  <si>
    <t>SRAfterSwim2</t>
  </si>
  <si>
    <t>metal chest by light gem after acid swim</t>
  </si>
  <si>
    <t>on ground by light gem after acid swim</t>
  </si>
  <si>
    <t>SRDepthsEntry</t>
  </si>
  <si>
    <t>SRDepthsUpper</t>
  </si>
  <si>
    <t>armored chests below via firework</t>
  </si>
  <si>
    <t>SRDepthsLower</t>
  </si>
  <si>
    <t>SRToxicSwim1</t>
  </si>
  <si>
    <t>dark shards you can glide to in first room</t>
  </si>
  <si>
    <t>SRToxicSwim2</t>
  </si>
  <si>
    <t>SRToxicRise</t>
  </si>
  <si>
    <t>on the ground before rising statue room</t>
  </si>
  <si>
    <t>dark shard before rising statue room</t>
  </si>
  <si>
    <t>headbash chest before rising statue room</t>
  </si>
  <si>
    <t>armored chests via firework on perimeter</t>
  </si>
  <si>
    <t>dark shard before needing dj</t>
  </si>
  <si>
    <t>dark shard after needing dj</t>
  </si>
  <si>
    <t>SRReturnToStart</t>
  </si>
  <si>
    <t>SRToxicSwimAbove</t>
  </si>
  <si>
    <t>armored chests via firework atop puzzle</t>
  </si>
  <si>
    <t>dark shards after glide</t>
  </si>
  <si>
    <t>baskets after glide</t>
  </si>
  <si>
    <t>metal chests after glide</t>
  </si>
  <si>
    <t>HasAll('Charge', 'Double Jump')</t>
  </si>
  <si>
    <t>HasAll('Swim', 'Charge')</t>
  </si>
  <si>
    <t>And(Has('Glide'), HasAny('Fire Breath', 'Electric Breath', 'Charge'))</t>
  </si>
  <si>
    <t>And(HasAll('Double Jump', 'Glide'), HasAny('Fire Breath', 'Electric Breath', 'Charge'))</t>
  </si>
  <si>
    <t>HasAny('Fire Breath', 'Electric Breath')</t>
  </si>
  <si>
    <t>HasAny('Fire Breach', 'Electric Breath', 'Charge')</t>
  </si>
  <si>
    <t>And(HasAll('Double Jump', 'Charge'), HasAny('Fire Breath', 'Electric Breath', 'Ice Breath'))</t>
  </si>
  <si>
    <t>And(HasAll('Charge', 'Double Jump'), HasAny('Fire Breath', 'Electric Breath', 'Ice Breath'))</t>
  </si>
  <si>
    <t>Or(Has('Electric Breath'), And(Has('Charge'), HasAny('Ice Breath', 'Double Jump')))</t>
  </si>
  <si>
    <t>And(HasAll('Electric Breath', 'Pole Spin', 'Glide'), HasAny('Charge', 'Double Jump'))</t>
  </si>
  <si>
    <t>HasAll('Electric Breath', 'Pole Spin', 'Glide', 'Double Jump')</t>
  </si>
  <si>
    <t>HasAll('Electric Breath', 'Double Jump')</t>
  </si>
  <si>
    <t>HasAll('Electric Breath', 'Double Jump', 'Fire Breath')</t>
  </si>
  <si>
    <t>And(Has('Glide'), HasAny('Charge', 'Double Jump'))</t>
  </si>
  <si>
    <t>And(Has('Double Jump'), HasAny('Fire Breath', 'Electric Breath', 'Charge'))</t>
  </si>
  <si>
    <t>HasAll('Double Jump', 'Glide', 'Fire Breath')</t>
  </si>
  <si>
    <t>And(InvincibilityGadget(), HasAll('Swim', 'Charge'))</t>
  </si>
  <si>
    <t>Or(Has('Electric Breath'), HasAll('Charge', 'Ice Breath'))</t>
  </si>
  <si>
    <t>HasAll('Double Jump', 'Glide', 'Pole Spin')</t>
  </si>
  <si>
    <t>HasAll('Electric Breath', 'Charge')</t>
  </si>
  <si>
    <t>Has('Electric Breath')</t>
  </si>
  <si>
    <t>HasAll('Double Jump', 'Pole Spin', 'Swim', 'Charge')</t>
  </si>
  <si>
    <t>these require pool to be filled since they are temporarily missable</t>
  </si>
  <si>
    <t>HasAll('Double Jump', 'Wing Shield')</t>
  </si>
  <si>
    <t>HasAny('Fire Breath', 'Electric Breath', 'Ice Breath')</t>
  </si>
  <si>
    <t>CDEndlessPlatforms</t>
  </si>
  <si>
    <t>Has('Glide')</t>
  </si>
  <si>
    <t>And(Has('Glide'), Or(HasAny('Fire Breath', 'Electric Breath'), HasAll('Ice Breath', 'Charge')))</t>
  </si>
  <si>
    <t>And(Has('Glide'), HasAny('Fire Breath', 'Electric Breath'))</t>
  </si>
  <si>
    <t>And(HasAll('Double Jump', 'Pole Spin', 'Swim', 'Charge'), HasAny('Fire Breath', 'Electric Breath', 'Charge'))</t>
  </si>
  <si>
    <t>Frostbite Village</t>
  </si>
  <si>
    <t>headbash chest and rocks</t>
  </si>
  <si>
    <t>FVEntry1</t>
  </si>
  <si>
    <t>FVElectricGate</t>
  </si>
  <si>
    <t>baskets under dark gem</t>
  </si>
  <si>
    <t>metal chests after floating platform</t>
  </si>
  <si>
    <t>headbash chest and rocks after floating platform</t>
  </si>
  <si>
    <t>FVHeadingToCamp</t>
  </si>
  <si>
    <t>headbash rocks</t>
  </si>
  <si>
    <t>in the air + on the ground by Blink</t>
  </si>
  <si>
    <t>headbash chest + rocks</t>
  </si>
  <si>
    <t>FVIcyCamp</t>
  </si>
  <si>
    <t>headbash rock</t>
  </si>
  <si>
    <t>2 baskets on ice</t>
  </si>
  <si>
    <t>metal chest via wall kick</t>
  </si>
  <si>
    <t>baskets via wall kick</t>
  </si>
  <si>
    <t>FVIcyCampUpper</t>
  </si>
  <si>
    <t>on ground behind chargeable wall</t>
  </si>
  <si>
    <t>headbash rock behind chargeable wall</t>
  </si>
  <si>
    <t>on ground before chargeable wall + in platform room</t>
  </si>
  <si>
    <t>dark shards on ice (can't DJ)</t>
  </si>
  <si>
    <t>headbash chests + rock</t>
  </si>
  <si>
    <t>on the ground + in air in platform room</t>
  </si>
  <si>
    <t>15 and 17</t>
  </si>
  <si>
    <t>Gloomy Glacier</t>
  </si>
  <si>
    <t>Ice Citadel</t>
  </si>
  <si>
    <t>ICCourtyardLower</t>
  </si>
  <si>
    <t>metal chests you can't DJ</t>
  </si>
  <si>
    <t>baskets you can't DJ</t>
  </si>
  <si>
    <t>firework basket</t>
  </si>
  <si>
    <t>ICCourtyardUpper</t>
  </si>
  <si>
    <t>ICPastWaterGate</t>
  </si>
  <si>
    <t>headbash rocks behind chargeable wall</t>
  </si>
  <si>
    <t>ICElderRoom</t>
  </si>
  <si>
    <t>ICSuperchargeShop</t>
  </si>
  <si>
    <t>firework baskets</t>
  </si>
  <si>
    <t>ICUseSupercharge</t>
  </si>
  <si>
    <t>metal chests behind supercharge door by byrd</t>
  </si>
  <si>
    <t>dark shards behind supercharge door by byrd</t>
  </si>
  <si>
    <t>baskets behind supercharge door by byrd</t>
  </si>
  <si>
    <t>FVReturnFromIC</t>
  </si>
  <si>
    <t>ICRoyal</t>
  </si>
  <si>
    <t>18 and 14</t>
  </si>
  <si>
    <t>ICRoyalBack</t>
  </si>
  <si>
    <t>ICRoyalCannon</t>
  </si>
  <si>
    <t>armored chests via cannon</t>
  </si>
  <si>
    <t>ICRoyalToCourtyard</t>
  </si>
  <si>
    <t>FVEast</t>
  </si>
  <si>
    <t>dark shard via wall kick</t>
  </si>
  <si>
    <t>FVLGDoorDJ</t>
  </si>
  <si>
    <t>baskets via poles</t>
  </si>
  <si>
    <t>headbash chest via poles</t>
  </si>
  <si>
    <t>baskets behind water gate</t>
  </si>
  <si>
    <t>headbash chests behind water gate</t>
  </si>
  <si>
    <t>underwater icy vases</t>
  </si>
  <si>
    <t>metal chests behind water gate</t>
  </si>
  <si>
    <t>one gave 10</t>
  </si>
  <si>
    <t>And(HasAll('Double Jump', 'Water Breath'), HasAny('Fire Breath', 'Charge'))</t>
  </si>
  <si>
    <t>HasAll('Water Breath', 'Double Jump')</t>
  </si>
  <si>
    <t>HasAny('Charge', 'Fire Breath', 'Electric Breath', 'Water Breath', 'Ice Breath')</t>
  </si>
  <si>
    <t>And(Has('Wall Kick'), HasAny('Double Jump', 'Charge', 'Electric Breath'))</t>
  </si>
  <si>
    <t>And(Has('Wall Kick'), HasAny('Double Jump', 'Charge', 'Fire Breath', 'Electric Breath', 'Water Breath', 'Ice Breath'))</t>
  </si>
  <si>
    <t>And(Has('Wall Kick'), HasAny('Fire Breath', 'Electric Breath', 'Charge'))</t>
  </si>
  <si>
    <t>And(HasAll('Charge', 'Wall Kick'), HasAny('Fire Breath', 'Electric Breath', 'Ice Breath'))</t>
  </si>
  <si>
    <t>And(Has('Wall Kick'), HasAny('Double Jump', 'Charge'))</t>
  </si>
  <si>
    <t>And(Has('Pole Spin'), Or(HasAny('Fire Breath', 'Electric Breath'), HasAll('Ice Breath', 'Charge')))</t>
  </si>
  <si>
    <t>And(HasAll('Charge', 'Pole Spin'), HasAny('Fire Breath', 'Electric Breath', 'Ice Breath'))</t>
  </si>
  <si>
    <t>HasAll('Pole Spin', 'Charge')</t>
  </si>
  <si>
    <t>Has('Pole Spin')</t>
  </si>
  <si>
    <t>Has('Water Breath')</t>
  </si>
  <si>
    <t>floating in acid tunnel after double jump</t>
  </si>
  <si>
    <t>floating in acid tunnel before double jump</t>
  </si>
  <si>
    <t>HasAny('Charge', 'Electric Breath')</t>
  </si>
  <si>
    <t>Stormy Beach</t>
  </si>
  <si>
    <t>SBEntryLower</t>
  </si>
  <si>
    <t>underwater vases by realm teleporter</t>
  </si>
  <si>
    <t>armored chests via firework</t>
  </si>
  <si>
    <t>SBShop</t>
  </si>
  <si>
    <t>armored chests via firework on ground</t>
  </si>
  <si>
    <t>SBEntryUpper</t>
  </si>
  <si>
    <t>armored chests via firework in cave</t>
  </si>
  <si>
    <t>SBCaveUpper</t>
  </si>
  <si>
    <t>MMEntryUpper</t>
  </si>
  <si>
    <t>armored chests via firework on stump</t>
  </si>
  <si>
    <t>MMEntryLower</t>
  </si>
  <si>
    <t>MMVillage</t>
  </si>
  <si>
    <t>MMVillageImps</t>
  </si>
  <si>
    <t>MMPostVillage</t>
  </si>
  <si>
    <t>MMBridgeEntry</t>
  </si>
  <si>
    <t>MMBridge</t>
  </si>
  <si>
    <t>armored chests across bridge via cannon</t>
  </si>
  <si>
    <t>MMBridgePoles</t>
  </si>
  <si>
    <t>MMPostBridge</t>
  </si>
  <si>
    <t>MMLumberEntry</t>
  </si>
  <si>
    <t>1 gave 24, gems spread</t>
  </si>
  <si>
    <t>MMNorth</t>
  </si>
  <si>
    <t>on the ground after glide from light gem</t>
  </si>
  <si>
    <t>metal chests after glide from light gem</t>
  </si>
  <si>
    <t>headbash chest after glide from light gem</t>
  </si>
  <si>
    <t>MMLumber</t>
  </si>
  <si>
    <t>headbash chest and rock</t>
  </si>
  <si>
    <t>MMPostLumber</t>
  </si>
  <si>
    <t>MMNorthEast</t>
  </si>
  <si>
    <t>Magma Falls</t>
  </si>
  <si>
    <t>firework basket behind chargeable wall</t>
  </si>
  <si>
    <t>MFtCenter</t>
  </si>
  <si>
    <t>MFtSouth</t>
  </si>
  <si>
    <t>MFtWallKickLower</t>
  </si>
  <si>
    <t>MFtWallKickUpper</t>
  </si>
  <si>
    <t>baskets above wall kick</t>
  </si>
  <si>
    <t>MFtBallGadgetEntry</t>
  </si>
  <si>
    <t>ball gadget path</t>
  </si>
  <si>
    <t>metal chest next to ball gadget</t>
  </si>
  <si>
    <t>dark shards above wall kick</t>
  </si>
  <si>
    <t>metal chest above wall kick</t>
  </si>
  <si>
    <t>MFbSouthEast</t>
  </si>
  <si>
    <t>MFbBeforeImpRoom</t>
  </si>
  <si>
    <t>MFbImpRoom</t>
  </si>
  <si>
    <t>MFbSparxShop</t>
  </si>
  <si>
    <t>on the ground in thief area</t>
  </si>
  <si>
    <t>Dark Mine</t>
  </si>
  <si>
    <t>DMLGDoor</t>
  </si>
  <si>
    <t>basket behind chargeable wall</t>
  </si>
  <si>
    <t>underwater toxic metal chests and dark shards</t>
  </si>
  <si>
    <t>DMAfterRocks</t>
  </si>
  <si>
    <t>dark shard by light gem</t>
  </si>
  <si>
    <t>2 right before electric room gave 25 each</t>
  </si>
  <si>
    <t>DMCaged</t>
  </si>
  <si>
    <t>DMAfterCaged</t>
  </si>
  <si>
    <t>DMBeforeIcePoles</t>
  </si>
  <si>
    <t>armored chests via firework after ice poles</t>
  </si>
  <si>
    <t>DMSeeSaw</t>
  </si>
  <si>
    <t>baskets at ledge (50 below 50 above)</t>
  </si>
  <si>
    <t>DMGreenPoles</t>
  </si>
  <si>
    <t>Red's Laboratory</t>
  </si>
  <si>
    <t>headbash chest above charge switches</t>
  </si>
  <si>
    <t>metal chest above charge switches</t>
  </si>
  <si>
    <t>RLCenter</t>
  </si>
  <si>
    <t>headbash chest in SE entry</t>
  </si>
  <si>
    <t>headbash chest in NW entry</t>
  </si>
  <si>
    <t>baskets in NW entry</t>
  </si>
  <si>
    <t>RLNorthEast1</t>
  </si>
  <si>
    <t>baskets above electric platform</t>
  </si>
  <si>
    <t>headbash chest above electric platform</t>
  </si>
  <si>
    <t>RLNorthEast2</t>
  </si>
  <si>
    <t>RLNorthEast3</t>
  </si>
  <si>
    <t>RLNorthEast4</t>
  </si>
  <si>
    <t>RLNorthEast2Above</t>
  </si>
  <si>
    <t>RLNorthWest1</t>
  </si>
  <si>
    <t>RLNorthWest2</t>
  </si>
  <si>
    <t>metal chests with laser parkour</t>
  </si>
  <si>
    <t>headbash chest with laser parkour</t>
  </si>
  <si>
    <t>baskets with laser parkour</t>
  </si>
  <si>
    <t>headbash chest after pole spin glide</t>
  </si>
  <si>
    <t>RLSouthEast1</t>
  </si>
  <si>
    <t>metal chests up high</t>
  </si>
  <si>
    <t>RLSouthEast2</t>
  </si>
  <si>
    <t>RLSouthEast3</t>
  </si>
  <si>
    <t>metal chests above boiler</t>
  </si>
  <si>
    <t>Molten Mount</t>
  </si>
  <si>
    <t>armored chests via west cove firework</t>
  </si>
  <si>
    <t>And(HasAll('Swim', 'Charge'), InvincibilityGadget())</t>
  </si>
  <si>
    <t>HasAny('Water Breath', 'Ice Breath')</t>
  </si>
  <si>
    <t>MMAfterPoles</t>
  </si>
  <si>
    <t>headbash rocks under unarmored huge gnorc</t>
  </si>
  <si>
    <t>HasAll('Charge', 'Fire Breath')</t>
  </si>
  <si>
    <t>baskets by locked chest above center</t>
  </si>
  <si>
    <t>And(Has('Double Jump'), HasAny('Water Breath', 'Ice Breath'))</t>
  </si>
  <si>
    <t>And(HasAll('Double Jump', 'Glide'), HasAny('Water Breath', 'Ice Breath'))</t>
  </si>
  <si>
    <t>HasAll('Double Jump', 'Charge')</t>
  </si>
  <si>
    <t>Or(Has('Electric Breath'), HasAll('Ice Breath', 'Charge'))</t>
  </si>
  <si>
    <t>HasAny('Electric Breath', 'Ice Breath')</t>
  </si>
  <si>
    <t>Has('Wall Kick')</t>
  </si>
  <si>
    <t>HasAll('Wall Kick', 'Glide')</t>
  </si>
  <si>
    <t>HasAll('Glide', 'Ice Breath', 'Pole Spin')</t>
  </si>
  <si>
    <t>baskets behind lasers</t>
  </si>
  <si>
    <t>And(Has('Fire Breath'), HasAny('Double Jump', 'Charge', 'Electric Breath'))</t>
  </si>
  <si>
    <t>HasAny('Electric Breath', 'Charge')</t>
  </si>
  <si>
    <t>And(HasAll('Double Jump', 'Glide', 'Pole Spin'), HasAny('Electric Breath', 'Charge'))</t>
  </si>
  <si>
    <t>And(HasAll('Fire Breath', 'Double Jump', 'Glide', 'Pole Spin'), HasAny('Electric Breath', 'Charge'))</t>
  </si>
  <si>
    <t>And(Has('Charge'), HasAny('Electric Breath', 'Ice Breath'))</t>
  </si>
  <si>
    <t>DVOutsideBallGadget</t>
  </si>
  <si>
    <t>HasAll('Charge', 'Double Jump', 'Wing Shield')</t>
  </si>
  <si>
    <t>armored chests via exploding arrows</t>
  </si>
  <si>
    <t>frozen gem blocks</t>
  </si>
  <si>
    <t>TOTAL</t>
  </si>
  <si>
    <t>[enemy] armored huge gnorc</t>
  </si>
  <si>
    <t>[enemy] archer gnorcs</t>
  </si>
  <si>
    <t>[enemy] unarmored huge gnorc</t>
  </si>
  <si>
    <t>[enemy] unarmored middle gnorc</t>
  </si>
  <si>
    <t>[enemy] armored huge gnorcs</t>
  </si>
  <si>
    <t>[enemy] normal crocoviles</t>
  </si>
  <si>
    <t>[enemy] boomerang crocoviles</t>
  </si>
  <si>
    <t>[enemy] critters</t>
  </si>
  <si>
    <t>[enemy] red plants</t>
  </si>
  <si>
    <t>[enemy] yellow plants</t>
  </si>
  <si>
    <t>[enemy] normal crocoviles on pyramid</t>
  </si>
  <si>
    <t>[enemy] red plant</t>
  </si>
  <si>
    <t>[enemy] yellow plant</t>
  </si>
  <si>
    <t>[enemy] normal crocovile guarding switch</t>
  </si>
  <si>
    <t>[enemy] normal crocovile in cave</t>
  </si>
  <si>
    <t>[enemy] unarmored huge gnorcs in cave</t>
  </si>
  <si>
    <t>[enemy] normal crocovile above pole spin</t>
  </si>
  <si>
    <t>[enemy] normal crocovile past sinking platforms</t>
  </si>
  <si>
    <t>[enemy] red plant past sinking platforms</t>
  </si>
  <si>
    <t>[enemy] normal crocovile above poles outside tree</t>
  </si>
  <si>
    <t>[enemy] normal crocovile by entry area</t>
  </si>
  <si>
    <t>[enemy] normal crocovile by chest above entry</t>
  </si>
  <si>
    <t>[enemy] rams</t>
  </si>
  <si>
    <t>[enemy] shepherd</t>
  </si>
  <si>
    <t>[enemy] normal crocovile by cannon</t>
  </si>
  <si>
    <t>[enemy] armored huge gnorc in second canyon area</t>
  </si>
  <si>
    <t>[enemy] unarmored huge gnorc in second canyon area</t>
  </si>
  <si>
    <t>[enemy] normal crocovile</t>
  </si>
  <si>
    <t>[enemy] Hunter archer gnorcs</t>
  </si>
  <si>
    <t>[enemy] Hunter unarmored huge gnorcs</t>
  </si>
  <si>
    <t>[enemy] unarmored huge gnorc at lowest level</t>
  </si>
  <si>
    <t>[enemy] armored huge gnorc at lowest level</t>
  </si>
  <si>
    <t>[enemy] armored huge gnorc at middle level</t>
  </si>
  <si>
    <t>[enemy] unarmored huge gnorcs at middle level</t>
  </si>
  <si>
    <t>[enemy] blue monkeys</t>
  </si>
  <si>
    <t>[enemy] orange crabs</t>
  </si>
  <si>
    <t>[enemy] blue crabs</t>
  </si>
  <si>
    <t>[enemy] tiki men</t>
  </si>
  <si>
    <t>[enemy] archer gnorcs up high</t>
  </si>
  <si>
    <t>[enemy] armored huge gnorc up high</t>
  </si>
  <si>
    <t>[enemy] tiki man on side path</t>
  </si>
  <si>
    <t>[enemy] unarmored huge gnorc by dark gem</t>
  </si>
  <si>
    <t>[enemy] armored huge gnorc by shop</t>
  </si>
  <si>
    <t>[enemy] armored huge gnorc after electric platform</t>
  </si>
  <si>
    <t>[enemy] blue crabs after electric platform</t>
  </si>
  <si>
    <t>[enemy] orange crabs in pool</t>
  </si>
  <si>
    <t>[enemy] unarmored middle gnorcs</t>
  </si>
  <si>
    <t>[enemy] archer gnorc heading to west beach</t>
  </si>
  <si>
    <t>[enemy] archer gnorcs past dark gem</t>
  </si>
  <si>
    <t>[enemy] unarmored huge gnorcs past dark gem</t>
  </si>
  <si>
    <t>[enemy] first balloon gnorc in southwest area</t>
  </si>
  <si>
    <t>[enemy] flying middle gnorcs</t>
  </si>
  <si>
    <t>[enemy] flying small gnorcs</t>
  </si>
  <si>
    <t>[enemy] armored middle gnorc</t>
  </si>
  <si>
    <t>[enemy] first balloon gnorc in tutorial</t>
  </si>
  <si>
    <t>[enemy] balloon gnorcs</t>
  </si>
  <si>
    <t>[enemy] flying middle gnorc</t>
  </si>
  <si>
    <t>[enemy] unarmored huge gnorc after glide</t>
  </si>
  <si>
    <t>[enemy] flying small gnorcs after glide</t>
  </si>
  <si>
    <t>[enemy] mer-gnorc</t>
  </si>
  <si>
    <t>[enemy] mer-gnorcs</t>
  </si>
  <si>
    <t>[enemy] mer-gnorc before rising statue room</t>
  </si>
  <si>
    <t>[enemy] blue crab</t>
  </si>
  <si>
    <t>[enemy] eskimoles under dark gem</t>
  </si>
  <si>
    <t>[enemy] eskimole under snowman by floating platform</t>
  </si>
  <si>
    <t>[enemy] eskimoles</t>
  </si>
  <si>
    <t>[enemy] eskimoles on ice</t>
  </si>
  <si>
    <t>[enemy] unarmored middle gnorc via wall kick</t>
  </si>
  <si>
    <t>[enemy] armored huge gnorc via wall kick</t>
  </si>
  <si>
    <t>[enemy] eskimole on platforms</t>
  </si>
  <si>
    <t>[enemy] eskimole via wall kick</t>
  </si>
  <si>
    <t>[enemy] unarmored huge gnorc via poles</t>
  </si>
  <si>
    <t>[enemy] armored huge gnorc via poles</t>
  </si>
  <si>
    <t>[enemy] armored middle gnorc via poles</t>
  </si>
  <si>
    <t>[enemy] eskimoles via poles</t>
  </si>
  <si>
    <t>[enemy] yeti</t>
  </si>
  <si>
    <t>[enemy] skeletons</t>
  </si>
  <si>
    <t>[enemy] steel traps</t>
  </si>
  <si>
    <t>[enemy] archer gnorc</t>
  </si>
  <si>
    <t>[enemy] ice monster</t>
  </si>
  <si>
    <t>[enemy] armored middle gnorcs</t>
  </si>
  <si>
    <t>[enemy] phoenixes</t>
  </si>
  <si>
    <t>[enemy] fire imps</t>
  </si>
  <si>
    <t>[enemy] rock monsters</t>
  </si>
  <si>
    <t>[enemy] first phoenix in puzzle area</t>
  </si>
  <si>
    <t>[enemy] phoenix</t>
  </si>
  <si>
    <t>[enemy] fire imp</t>
  </si>
  <si>
    <t>[enemy] rock monster</t>
  </si>
  <si>
    <t>[enemy] armored huge gnorc behind chargeable wall</t>
  </si>
  <si>
    <t>[enemy] fire imps above wall kick</t>
  </si>
  <si>
    <t>[enemy] phoenixes above wall kick</t>
  </si>
  <si>
    <t>[enemy] fire imps (don't need DJ)</t>
  </si>
  <si>
    <t>[enemy] fire imps 1-6</t>
  </si>
  <si>
    <t>[enemy] fire imp 7</t>
  </si>
  <si>
    <t>[enemy] fire imp 8</t>
  </si>
  <si>
    <t>[enemy] armored middle gnorc in thief area</t>
  </si>
  <si>
    <t>[enemy] drill robots</t>
  </si>
  <si>
    <t>[enemy] spike robots</t>
  </si>
  <si>
    <t>[enemy] huge robo-gnorc</t>
  </si>
  <si>
    <t>[enemy] small robo-gnorc</t>
  </si>
  <si>
    <t>[enemy] small robo-gnorc above wall kick</t>
  </si>
  <si>
    <t>[enemy] turret robots</t>
  </si>
  <si>
    <t>[enemy] armored middle robo-gnorc</t>
  </si>
  <si>
    <t>[enemy] roller robot</t>
  </si>
  <si>
    <t>[enemy] drill robot</t>
  </si>
  <si>
    <t>[enemy] armored middle robo-gnorc in SE entry</t>
  </si>
  <si>
    <t>[enemy] huge robo-gnorc in SW entry</t>
  </si>
  <si>
    <t>[enemy] huge robo-gnorc in NW entry</t>
  </si>
  <si>
    <t>[enemy] huge robo-gnorc in NE entry</t>
  </si>
  <si>
    <t>[enemy] small robo-gnorcs</t>
  </si>
  <si>
    <t>[enemy] armored middle robo-gnorc above electric platform</t>
  </si>
  <si>
    <t>[enemy] huge robo-gnorc above electric platform</t>
  </si>
  <si>
    <t>[enemy] huge robo-gnorcs</t>
  </si>
  <si>
    <t>[enemy] small robo-gnorc on piston needing DJ</t>
  </si>
  <si>
    <t>[enemy] armored middle robo-gnorcs</t>
  </si>
  <si>
    <t>[enemy] small robo-gnorcs that spawn after dark gem</t>
  </si>
  <si>
    <t>[enemy] armored middle robo-gnorc up high</t>
  </si>
  <si>
    <t>[enemy] huge robo-gnorcs up high</t>
  </si>
  <si>
    <t>[enemy] small robo-gnorc above egg</t>
  </si>
  <si>
    <t>underwater vases</t>
  </si>
  <si>
    <t>[enemy] underwater clams</t>
  </si>
  <si>
    <t>[enemy] underwater mer-gnorc and clams</t>
  </si>
  <si>
    <t>[enemy] red and yellow plants</t>
  </si>
  <si>
    <t>armored chests and metal chests via supercharge</t>
  </si>
  <si>
    <t>metal chests and headbash chest behind guarded gate</t>
  </si>
  <si>
    <t>[enemy] normal and boomerang crocoviles</t>
  </si>
  <si>
    <t>on the ground and breakables behind chargeable walls</t>
  </si>
  <si>
    <t>baskets and metal and headbash chests in second canyon area</t>
  </si>
  <si>
    <t>[enemy] shepherd and normal crocoviles</t>
  </si>
  <si>
    <t>metal chests using exploding arrows</t>
  </si>
  <si>
    <t>on ground behind breakable walls using exploding arrows</t>
  </si>
  <si>
    <t>baskets and metal chest at middle level</t>
  </si>
  <si>
    <t>on the ground and metal chests behind chargeable wall</t>
  </si>
  <si>
    <t>[enemy] orange crabs and tiki men</t>
  </si>
  <si>
    <t>on the ground and breakables needing double jump</t>
  </si>
  <si>
    <t>should be 142824</t>
  </si>
  <si>
    <t>should be 20028</t>
  </si>
  <si>
    <t>should be 122796</t>
  </si>
  <si>
    <t>[enemy] flying middle and small gnorcs</t>
  </si>
  <si>
    <t>[enemy] armored and unarmored huge gnorcs</t>
  </si>
  <si>
    <t>ball gadget minigame</t>
  </si>
  <si>
    <t>[enemy] underwater mer-gnorc</t>
  </si>
  <si>
    <t>underwater floating and on the ground</t>
  </si>
  <si>
    <t>on ground and metal chest by light gem after acid swim</t>
  </si>
  <si>
    <t>metal chests and headbash chest and rocks after floating platform</t>
  </si>
  <si>
    <t>baskets and headbash chest via poles</t>
  </si>
  <si>
    <t>standard breakables</t>
  </si>
  <si>
    <t>frozen gem blocks via exploding arrows</t>
  </si>
  <si>
    <t>steel traps via exploding arrows</t>
  </si>
  <si>
    <t>armored chests</t>
  </si>
  <si>
    <t>on the ground and chests after glide from light gem</t>
  </si>
  <si>
    <t>stuff behind chargeable walls</t>
  </si>
  <si>
    <t>[enemy] fire imps and phoenixes above wall kick</t>
  </si>
  <si>
    <t>armored chest via firework above wall kick</t>
  </si>
  <si>
    <t>metal chest and baskets behind chargeable wall</t>
  </si>
  <si>
    <t>headbash chest and metal chest above charge switches</t>
  </si>
  <si>
    <t>headbash chests in SE and NW entryways</t>
  </si>
  <si>
    <t>baskets/chests/dark shards/on the ground</t>
  </si>
  <si>
    <t>baskets/headbash chest + rock/metal chest</t>
  </si>
  <si>
    <t>on the ground/baskets/headbash chest</t>
  </si>
  <si>
    <t>on the ground/baskets/chests</t>
  </si>
  <si>
    <t>chests/baskets/on the ground</t>
  </si>
  <si>
    <t>[enemy] normal and boomerang crocoviles/critters</t>
  </si>
  <si>
    <t>baskets/metal chests</t>
  </si>
  <si>
    <t>metal chests/headbash chest</t>
  </si>
  <si>
    <t>baskets/metal chests/on the ground</t>
  </si>
  <si>
    <t>baskets/metal chests/headbash chest</t>
  </si>
  <si>
    <t>on the ground/baskets/headbash chests/metal chests</t>
  </si>
  <si>
    <t>[enemy] archer gnorcs/unarmored huge gnorcs</t>
  </si>
  <si>
    <t>headbash chests/baskets and headbash chest up high</t>
  </si>
  <si>
    <t>[enemy] unarmored middle gnorc/archer gnorc</t>
  </si>
  <si>
    <t>baskets/headbash chests/on the ground</t>
  </si>
  <si>
    <t>armored chests by dark gem via cannon/and on the ground after reinforced door</t>
  </si>
  <si>
    <t>armored chests by dragon egg via cannon/and baskets by dragon egg</t>
  </si>
  <si>
    <t>on the ground/meatl chests/headbash chests</t>
  </si>
  <si>
    <t>on the ground/baskets/and metal chests after electric platform</t>
  </si>
  <si>
    <t>[enemy] unarmored middle gnorcs/critters</t>
  </si>
  <si>
    <t>[enemy] archer gnorc/tiki men</t>
  </si>
  <si>
    <t>headbash chest/metal chests/dark shards</t>
  </si>
  <si>
    <t>on the ground/in the air/baskets/chests</t>
  </si>
  <si>
    <t>in the air/basket/metal chest/headbash purple thing/dark shard</t>
  </si>
  <si>
    <t>dark shards/baskets/and metal chests after glide</t>
  </si>
  <si>
    <t>[enemy] critters/mer-gnorc</t>
  </si>
  <si>
    <t>on the ground/baskets/and headbash chest atop thermal</t>
  </si>
  <si>
    <t>on the ground/metal chests/dark shard/baskets</t>
  </si>
  <si>
    <t>dark shards/metal chests/on the ground/basket/headbash chest</t>
  </si>
  <si>
    <t>[enemy] mer-gnorcs/orange crabs/blue crab</t>
  </si>
  <si>
    <t>metal chests/dark shards/on the ground/baskets</t>
  </si>
  <si>
    <t>metal chests/baskets</t>
  </si>
  <si>
    <t>[enemy] eskimoles/unarmored middle gnorc</t>
  </si>
  <si>
    <t>baskets/in the air/on the ground/shests and rocks/dark shards</t>
  </si>
  <si>
    <t>dark shards on ice/headbash rock and on the gorund behind chargeable wall</t>
  </si>
  <si>
    <t>baskets/metal chests/headbash chests + rock/on the ground/in air</t>
  </si>
  <si>
    <t>armored chests/on the ground/baskets/metal chests/headbash chest and rocks</t>
  </si>
  <si>
    <t>baskets/headbash and metal chests behind water gate</t>
  </si>
  <si>
    <t>[enemy] yeti/skeletons/eskimoles</t>
  </si>
  <si>
    <t>[enemy] archer gnorc/unarmored middle gnorc</t>
  </si>
  <si>
    <t>baskets/dark shards</t>
  </si>
  <si>
    <t>[enemy] yeti/unarmored middle gnorc</t>
  </si>
  <si>
    <t>baskets/metal chests/headbash chest and rocks/on the ground/dark shard</t>
  </si>
  <si>
    <t>on the ground/baskets/headbash chest/metal chests</t>
  </si>
  <si>
    <t>[enemy] unarmored middle gnorcs/archer gnorcs</t>
  </si>
  <si>
    <t>baskets/dark shards/metal chests</t>
  </si>
  <si>
    <t>[enemy] archer gnorcs/unarmored middle gnorc</t>
  </si>
  <si>
    <t>baskets/dark shard</t>
  </si>
  <si>
    <t>baskets/on the ground/dark shards/metal chests</t>
  </si>
  <si>
    <t>[enemy] armored huge gnorc/armored middle gnorcs</t>
  </si>
  <si>
    <t>on the ground/baskets/dark shards/headbash chests</t>
  </si>
  <si>
    <t>baskets/metal chest/on the ground/dark shard</t>
  </si>
  <si>
    <t>on the ground/headbash rock</t>
  </si>
  <si>
    <t>[enemy] phoenixes/fire imps</t>
  </si>
  <si>
    <t>on the ground/headbash chest and rock/baskets</t>
  </si>
  <si>
    <t>baskets/headbash rocks</t>
  </si>
  <si>
    <t>headbash rock/dark shard/metal chests</t>
  </si>
  <si>
    <t>[enemy] phoenix/fire imps</t>
  </si>
  <si>
    <t>baskets/on the ground/dark shards/chests and rocks</t>
  </si>
  <si>
    <t>[enemy] spike robots/steel traps</t>
  </si>
  <si>
    <t>[enemy] huge robo-gnorc/steel traps</t>
  </si>
  <si>
    <t>dark shards/baskets/headbash chest/metal chests</t>
  </si>
  <si>
    <t>baskets/metal chests/dark shards/headbash chest</t>
  </si>
  <si>
    <t>baskets/dark shards/metal chests/headbash chests</t>
  </si>
  <si>
    <t>[enemy] steel traps/huge robo-gnorc</t>
  </si>
  <si>
    <t>baskets/headbash chest</t>
  </si>
  <si>
    <t>[enemy] small robo-gnorcs/drill robot</t>
  </si>
  <si>
    <t>[enemy] roller robot/huge robo-gnorc/steel traps</t>
  </si>
  <si>
    <t>baskets/dark shards/metal chest</t>
  </si>
  <si>
    <t>[enemy] drill robot/huge robo-gnorcs/steel traps</t>
  </si>
  <si>
    <t>on the ground/metal chests/baskets/headbash chests</t>
  </si>
  <si>
    <t>[enemy] small robo-gnorcs/huge robo-gnorcs</t>
  </si>
  <si>
    <t>[enemy] huge robo-gnorc ins NE/SW/and NW entryways</t>
  </si>
  <si>
    <t>[enemy] small robo-gnorcs/huge robo-gnorc</t>
  </si>
  <si>
    <t>metal chests/baskets/headbash chest</t>
  </si>
  <si>
    <t>metal chests/headbash chests/and baskets using DJ</t>
  </si>
  <si>
    <t>baskets behind lasers/headbash chest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</si>
</sst>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20"/>
      <color theme="1"/>
      <name val="Calibri"/>
      <family val="2"/>
      <scheme val="minor"/>
    </font>
    <font>
      <b/>
      <sz val="20"/>
      <color theme="1"/>
      <name val="Calibri"/>
      <family val="2"/>
      <scheme val="minor"/>
    </font>
    <font>
      <sz val="9"/>
      <color indexed="81"/>
      <name val="Tahoma"/>
      <charset val="1"/>
    </font>
    <font>
      <b/>
      <sz val="9"/>
      <color indexed="81"/>
      <name val="Tahoma"/>
      <charset val="1"/>
    </font>
    <font>
      <b/>
      <u/>
      <sz val="20"/>
      <color theme="1"/>
      <name val="Calibri"/>
      <family val="2"/>
      <scheme val="minor"/>
    </font>
    <font>
      <sz val="9"/>
      <color indexed="81"/>
      <name val="Tahoma"/>
      <family val="2"/>
    </font>
    <font>
      <b/>
      <sz val="9"/>
      <color indexed="81"/>
      <name val="Tahoma"/>
      <family val="2"/>
    </font>
    <font>
      <u/>
      <sz val="20"/>
      <color theme="1"/>
      <name val="Calibri"/>
      <family val="2"/>
      <scheme val="minor"/>
    </font>
    <font>
      <sz val="22"/>
      <color theme="1"/>
      <name val="Calibri"/>
      <family val="2"/>
      <scheme val="minor"/>
    </font>
  </fonts>
  <fills count="11">
    <fill>
      <patternFill patternType="none"/>
    </fill>
    <fill>
      <patternFill patternType="gray125"/>
    </fill>
    <fill>
      <patternFill patternType="solid">
        <fgColor theme="9"/>
        <bgColor indexed="64"/>
      </patternFill>
    </fill>
    <fill>
      <patternFill patternType="solid">
        <fgColor rgb="FFFFFF00"/>
        <bgColor indexed="64"/>
      </patternFill>
    </fill>
    <fill>
      <patternFill patternType="solid">
        <fgColor theme="8"/>
        <bgColor indexed="64"/>
      </patternFill>
    </fill>
    <fill>
      <patternFill patternType="solid">
        <fgColor rgb="FFFF0000"/>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rgb="FFFF7171"/>
        <bgColor indexed="64"/>
      </patternFill>
    </fill>
    <fill>
      <patternFill patternType="solid">
        <fgColor theme="7"/>
        <bgColor indexed="64"/>
      </patternFill>
    </fill>
    <fill>
      <patternFill patternType="solid">
        <fgColor theme="7" tint="0.39997558519241921"/>
        <bgColor indexed="64"/>
      </patternFill>
    </fill>
  </fills>
  <borders count="12">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s>
  <cellStyleXfs count="1">
    <xf numFmtId="0" fontId="0" fillId="0" borderId="0"/>
  </cellStyleXfs>
  <cellXfs count="168">
    <xf numFmtId="0" fontId="0" fillId="0" borderId="0" xfId="0"/>
    <xf numFmtId="0" fontId="1" fillId="0" borderId="0" xfId="0" applyFont="1"/>
    <xf numFmtId="0" fontId="2" fillId="0" borderId="0" xfId="0" applyFont="1"/>
    <xf numFmtId="0" fontId="1" fillId="0" borderId="0" xfId="0" applyFont="1" applyAlignment="1">
      <alignment horizontal="center"/>
    </xf>
    <xf numFmtId="0" fontId="1" fillId="0" borderId="0" xfId="0" applyFont="1" applyAlignment="1">
      <alignment horizontal="left"/>
    </xf>
    <xf numFmtId="0" fontId="1" fillId="0" borderId="0" xfId="0" applyFont="1" applyAlignment="1">
      <alignment horizontal="right"/>
    </xf>
    <xf numFmtId="0" fontId="5" fillId="0" borderId="0" xfId="0" applyFont="1"/>
    <xf numFmtId="0" fontId="5" fillId="6" borderId="1" xfId="0" applyFont="1" applyFill="1" applyBorder="1" applyAlignment="1">
      <alignment horizontal="center"/>
    </xf>
    <xf numFmtId="0" fontId="5" fillId="6" borderId="3" xfId="0" applyFont="1" applyFill="1" applyBorder="1" applyAlignment="1">
      <alignment horizontal="center"/>
    </xf>
    <xf numFmtId="0" fontId="5" fillId="6" borderId="2" xfId="0" applyFont="1" applyFill="1" applyBorder="1" applyAlignment="1">
      <alignment horizontal="center"/>
    </xf>
    <xf numFmtId="0" fontId="1" fillId="6" borderId="10" xfId="0" applyFont="1" applyFill="1" applyBorder="1"/>
    <xf numFmtId="0" fontId="1" fillId="6" borderId="0" xfId="0" applyFont="1" applyFill="1"/>
    <xf numFmtId="0" fontId="1" fillId="6" borderId="11" xfId="0" applyFont="1" applyFill="1" applyBorder="1"/>
    <xf numFmtId="0" fontId="1" fillId="6" borderId="7" xfId="0" applyFont="1" applyFill="1" applyBorder="1"/>
    <xf numFmtId="0" fontId="1" fillId="6" borderId="8" xfId="0" applyFont="1" applyFill="1" applyBorder="1"/>
    <xf numFmtId="0" fontId="1" fillId="6" borderId="9" xfId="0" applyFont="1" applyFill="1" applyBorder="1"/>
    <xf numFmtId="0" fontId="1" fillId="7" borderId="10" xfId="0" applyFont="1" applyFill="1" applyBorder="1"/>
    <xf numFmtId="0" fontId="1" fillId="7" borderId="0" xfId="0" applyFont="1" applyFill="1"/>
    <xf numFmtId="0" fontId="1" fillId="7" borderId="11" xfId="0" applyFont="1" applyFill="1" applyBorder="1"/>
    <xf numFmtId="0" fontId="1" fillId="7" borderId="7" xfId="0" applyFont="1" applyFill="1" applyBorder="1"/>
    <xf numFmtId="0" fontId="1" fillId="7" borderId="8" xfId="0" applyFont="1" applyFill="1" applyBorder="1"/>
    <xf numFmtId="0" fontId="1" fillId="7" borderId="9" xfId="0" applyFont="1" applyFill="1" applyBorder="1"/>
    <xf numFmtId="0" fontId="1" fillId="8" borderId="10" xfId="0" applyFont="1" applyFill="1" applyBorder="1"/>
    <xf numFmtId="0" fontId="1" fillId="8" borderId="0" xfId="0" applyFont="1" applyFill="1"/>
    <xf numFmtId="0" fontId="1" fillId="8" borderId="11" xfId="0" applyFont="1" applyFill="1" applyBorder="1"/>
    <xf numFmtId="0" fontId="1" fillId="8" borderId="7" xfId="0" applyFont="1" applyFill="1" applyBorder="1"/>
    <xf numFmtId="0" fontId="1" fillId="8" borderId="8" xfId="0" applyFont="1" applyFill="1" applyBorder="1"/>
    <xf numFmtId="0" fontId="1" fillId="8" borderId="9" xfId="0" applyFont="1" applyFill="1" applyBorder="1"/>
    <xf numFmtId="0" fontId="5" fillId="7" borderId="3" xfId="0" applyFont="1" applyFill="1" applyBorder="1" applyAlignment="1">
      <alignment horizontal="center"/>
    </xf>
    <xf numFmtId="0" fontId="5" fillId="7" borderId="2" xfId="0" applyFont="1" applyFill="1" applyBorder="1" applyAlignment="1">
      <alignment horizontal="center"/>
    </xf>
    <xf numFmtId="0" fontId="1" fillId="7" borderId="10" xfId="0" applyFont="1" applyFill="1" applyBorder="1" applyAlignment="1">
      <alignment horizontal="left"/>
    </xf>
    <xf numFmtId="0" fontId="1" fillId="7" borderId="0" xfId="0" applyFont="1" applyFill="1" applyAlignment="1">
      <alignment horizontal="right"/>
    </xf>
    <xf numFmtId="0" fontId="1" fillId="7" borderId="0" xfId="0" applyFont="1" applyFill="1" applyAlignment="1">
      <alignment horizontal="left"/>
    </xf>
    <xf numFmtId="0" fontId="5" fillId="8" borderId="1" xfId="0" applyFont="1" applyFill="1" applyBorder="1" applyAlignment="1">
      <alignment horizontal="center"/>
    </xf>
    <xf numFmtId="0" fontId="5" fillId="8" borderId="3" xfId="0" applyFont="1" applyFill="1" applyBorder="1" applyAlignment="1">
      <alignment horizontal="center"/>
    </xf>
    <xf numFmtId="0" fontId="5" fillId="8" borderId="2" xfId="0" applyFont="1" applyFill="1" applyBorder="1" applyAlignment="1">
      <alignment horizontal="center"/>
    </xf>
    <xf numFmtId="0" fontId="2" fillId="6" borderId="1" xfId="0" applyFont="1" applyFill="1" applyBorder="1" applyAlignment="1">
      <alignment horizontal="center"/>
    </xf>
    <xf numFmtId="0" fontId="2" fillId="6" borderId="3" xfId="0" applyFont="1" applyFill="1" applyBorder="1" applyAlignment="1">
      <alignment horizontal="center"/>
    </xf>
    <xf numFmtId="0" fontId="2" fillId="6" borderId="2" xfId="0" applyFont="1" applyFill="1" applyBorder="1" applyAlignment="1">
      <alignment horizontal="center"/>
    </xf>
    <xf numFmtId="0" fontId="2" fillId="7" borderId="3" xfId="0" applyFont="1" applyFill="1" applyBorder="1" applyAlignment="1">
      <alignment horizontal="center"/>
    </xf>
    <xf numFmtId="0" fontId="2" fillId="7" borderId="2" xfId="0" applyFont="1" applyFill="1" applyBorder="1" applyAlignment="1">
      <alignment horizontal="center"/>
    </xf>
    <xf numFmtId="0" fontId="2" fillId="8" borderId="1" xfId="0" applyFont="1" applyFill="1" applyBorder="1" applyAlignment="1">
      <alignment horizontal="center"/>
    </xf>
    <xf numFmtId="0" fontId="2" fillId="8" borderId="3" xfId="0" applyFont="1" applyFill="1" applyBorder="1" applyAlignment="1">
      <alignment horizontal="center"/>
    </xf>
    <xf numFmtId="0" fontId="2" fillId="8" borderId="2" xfId="0" applyFont="1" applyFill="1" applyBorder="1" applyAlignment="1">
      <alignment horizontal="center"/>
    </xf>
    <xf numFmtId="0" fontId="5" fillId="7" borderId="1" xfId="0" applyFont="1" applyFill="1" applyBorder="1" applyAlignment="1">
      <alignment horizontal="center"/>
    </xf>
    <xf numFmtId="0" fontId="1" fillId="6" borderId="0" xfId="0" applyFont="1" applyFill="1" applyAlignment="1">
      <alignment horizontal="right"/>
    </xf>
    <xf numFmtId="0" fontId="1" fillId="6" borderId="0" xfId="0" applyFont="1" applyFill="1" applyAlignment="1">
      <alignment horizontal="left"/>
    </xf>
    <xf numFmtId="0" fontId="1" fillId="6" borderId="11" xfId="0" applyFont="1" applyFill="1" applyBorder="1" applyAlignment="1">
      <alignment horizontal="left"/>
    </xf>
    <xf numFmtId="0" fontId="1" fillId="6" borderId="10" xfId="0" applyFont="1" applyFill="1" applyBorder="1" applyAlignment="1">
      <alignment horizontal="left"/>
    </xf>
    <xf numFmtId="0" fontId="1" fillId="6" borderId="11" xfId="0" applyFont="1" applyFill="1" applyBorder="1" applyAlignment="1">
      <alignment horizontal="center"/>
    </xf>
    <xf numFmtId="0" fontId="1" fillId="6" borderId="10" xfId="0" applyFont="1" applyFill="1" applyBorder="1" applyAlignment="1">
      <alignment horizontal="center"/>
    </xf>
    <xf numFmtId="0" fontId="1" fillId="6" borderId="0" xfId="0" applyFont="1" applyFill="1" applyAlignment="1">
      <alignment horizontal="center"/>
    </xf>
    <xf numFmtId="0" fontId="2" fillId="7" borderId="1" xfId="0" applyFont="1" applyFill="1" applyBorder="1" applyAlignment="1">
      <alignment horizontal="center"/>
    </xf>
    <xf numFmtId="0" fontId="1" fillId="7" borderId="7" xfId="0" applyFont="1" applyFill="1" applyBorder="1" applyAlignment="1">
      <alignment horizontal="left"/>
    </xf>
    <xf numFmtId="0" fontId="1" fillId="7" borderId="8" xfId="0" applyFont="1" applyFill="1" applyBorder="1" applyAlignment="1">
      <alignment horizontal="right"/>
    </xf>
    <xf numFmtId="0" fontId="1" fillId="8" borderId="10" xfId="0" applyFont="1" applyFill="1" applyBorder="1" applyAlignment="1">
      <alignment horizontal="left"/>
    </xf>
    <xf numFmtId="0" fontId="1" fillId="8" borderId="7" xfId="0" applyFont="1" applyFill="1" applyBorder="1" applyAlignment="1">
      <alignment horizontal="left"/>
    </xf>
    <xf numFmtId="0" fontId="1" fillId="8" borderId="8" xfId="0" applyFont="1" applyFill="1" applyBorder="1" applyAlignment="1">
      <alignment horizontal="right"/>
    </xf>
    <xf numFmtId="0" fontId="1" fillId="8" borderId="0" xfId="0" applyFont="1" applyFill="1" applyAlignment="1">
      <alignment horizontal="right"/>
    </xf>
    <xf numFmtId="0" fontId="1" fillId="8" borderId="0" xfId="0" applyFont="1" applyFill="1" applyAlignment="1">
      <alignment horizontal="left"/>
    </xf>
    <xf numFmtId="0" fontId="1" fillId="8" borderId="11" xfId="0" applyFont="1" applyFill="1" applyBorder="1" applyAlignment="1">
      <alignment horizontal="left"/>
    </xf>
    <xf numFmtId="0" fontId="1" fillId="6" borderId="8" xfId="0" applyFont="1" applyFill="1" applyBorder="1" applyAlignment="1">
      <alignment horizontal="right"/>
    </xf>
    <xf numFmtId="0" fontId="5" fillId="10" borderId="1" xfId="0" applyFont="1" applyFill="1" applyBorder="1" applyAlignment="1">
      <alignment horizontal="center"/>
    </xf>
    <xf numFmtId="0" fontId="5" fillId="10" borderId="3" xfId="0" applyFont="1" applyFill="1" applyBorder="1" applyAlignment="1">
      <alignment horizontal="center"/>
    </xf>
    <xf numFmtId="0" fontId="5" fillId="10" borderId="2" xfId="0" applyFont="1" applyFill="1" applyBorder="1" applyAlignment="1">
      <alignment horizontal="center"/>
    </xf>
    <xf numFmtId="0" fontId="1" fillId="10" borderId="10" xfId="0" applyFont="1" applyFill="1" applyBorder="1" applyAlignment="1">
      <alignment horizontal="left"/>
    </xf>
    <xf numFmtId="0" fontId="1" fillId="10" borderId="0" xfId="0" applyFont="1" applyFill="1" applyAlignment="1">
      <alignment horizontal="right"/>
    </xf>
    <xf numFmtId="0" fontId="1" fillId="10" borderId="0" xfId="0" applyFont="1" applyFill="1" applyAlignment="1">
      <alignment horizontal="left"/>
    </xf>
    <xf numFmtId="0" fontId="1" fillId="10" borderId="11" xfId="0" applyFont="1" applyFill="1" applyBorder="1" applyAlignment="1">
      <alignment horizontal="left"/>
    </xf>
    <xf numFmtId="0" fontId="1" fillId="10" borderId="10" xfId="0" applyFont="1" applyFill="1" applyBorder="1"/>
    <xf numFmtId="0" fontId="1" fillId="10" borderId="0" xfId="0" applyFont="1" applyFill="1"/>
    <xf numFmtId="0" fontId="1" fillId="10" borderId="11" xfId="0" applyFont="1" applyFill="1" applyBorder="1"/>
    <xf numFmtId="0" fontId="1" fillId="10" borderId="7" xfId="0" applyFont="1" applyFill="1" applyBorder="1"/>
    <xf numFmtId="0" fontId="1" fillId="10" borderId="8" xfId="0" applyFont="1" applyFill="1" applyBorder="1" applyAlignment="1">
      <alignment horizontal="right"/>
    </xf>
    <xf numFmtId="0" fontId="1" fillId="10" borderId="8" xfId="0" applyFont="1" applyFill="1" applyBorder="1"/>
    <xf numFmtId="0" fontId="1" fillId="10" borderId="9" xfId="0" applyFont="1" applyFill="1" applyBorder="1"/>
    <xf numFmtId="0" fontId="1" fillId="6" borderId="1" xfId="0" applyFont="1" applyFill="1" applyBorder="1"/>
    <xf numFmtId="0" fontId="1" fillId="6" borderId="3" xfId="0" applyFont="1" applyFill="1" applyBorder="1" applyAlignment="1">
      <alignment horizontal="left"/>
    </xf>
    <xf numFmtId="0" fontId="1" fillId="6" borderId="8" xfId="0" applyFont="1" applyFill="1" applyBorder="1" applyAlignment="1">
      <alignment horizontal="left"/>
    </xf>
    <xf numFmtId="0" fontId="1" fillId="6" borderId="9" xfId="0" applyFont="1" applyFill="1" applyBorder="1" applyAlignment="1">
      <alignment horizontal="left"/>
    </xf>
    <xf numFmtId="0" fontId="1" fillId="6" borderId="7" xfId="0" applyFont="1" applyFill="1" applyBorder="1" applyAlignment="1">
      <alignment horizontal="left"/>
    </xf>
    <xf numFmtId="0" fontId="1" fillId="6" borderId="1" xfId="0" applyFont="1" applyFill="1" applyBorder="1" applyAlignment="1">
      <alignment horizontal="left"/>
    </xf>
    <xf numFmtId="0" fontId="1" fillId="6" borderId="3" xfId="0" applyFont="1" applyFill="1" applyBorder="1" applyAlignment="1">
      <alignment horizontal="center"/>
    </xf>
    <xf numFmtId="0" fontId="1" fillId="6" borderId="2" xfId="0" applyFont="1" applyFill="1" applyBorder="1" applyAlignment="1">
      <alignment horizontal="center"/>
    </xf>
    <xf numFmtId="0" fontId="1" fillId="7" borderId="8" xfId="0" applyFont="1" applyFill="1" applyBorder="1" applyAlignment="1">
      <alignment horizontal="left"/>
    </xf>
    <xf numFmtId="0" fontId="1" fillId="7" borderId="9" xfId="0" applyFont="1" applyFill="1" applyBorder="1" applyAlignment="1">
      <alignment horizontal="left"/>
    </xf>
    <xf numFmtId="0" fontId="1" fillId="7" borderId="1" xfId="0" applyFont="1" applyFill="1" applyBorder="1"/>
    <xf numFmtId="0" fontId="1" fillId="7" borderId="3" xfId="0" applyFont="1" applyFill="1" applyBorder="1"/>
    <xf numFmtId="0" fontId="1" fillId="7" borderId="2" xfId="0" applyFont="1" applyFill="1" applyBorder="1"/>
    <xf numFmtId="0" fontId="1" fillId="8" borderId="8" xfId="0" applyFont="1" applyFill="1" applyBorder="1" applyAlignment="1">
      <alignment horizontal="left"/>
    </xf>
    <xf numFmtId="0" fontId="1" fillId="8" borderId="9" xfId="0" applyFont="1" applyFill="1" applyBorder="1" applyAlignment="1">
      <alignment horizontal="left"/>
    </xf>
    <xf numFmtId="0" fontId="1" fillId="6" borderId="3" xfId="0" applyFont="1" applyFill="1" applyBorder="1"/>
    <xf numFmtId="0" fontId="1" fillId="6" borderId="2" xfId="0" applyFont="1" applyFill="1" applyBorder="1"/>
    <xf numFmtId="0" fontId="1" fillId="8" borderId="1" xfId="0" applyFont="1" applyFill="1" applyBorder="1"/>
    <xf numFmtId="0" fontId="1" fillId="8" borderId="3" xfId="0" applyFont="1" applyFill="1" applyBorder="1"/>
    <xf numFmtId="0" fontId="1" fillId="8" borderId="2" xfId="0" applyFont="1" applyFill="1" applyBorder="1"/>
    <xf numFmtId="0" fontId="1" fillId="8" borderId="3" xfId="0" applyFont="1" applyFill="1" applyBorder="1" applyAlignment="1">
      <alignment horizontal="right"/>
    </xf>
    <xf numFmtId="0" fontId="1" fillId="10" borderId="7" xfId="0" applyFont="1" applyFill="1" applyBorder="1" applyAlignment="1">
      <alignment horizontal="left"/>
    </xf>
    <xf numFmtId="0" fontId="1" fillId="10" borderId="8" xfId="0" applyFont="1" applyFill="1" applyBorder="1" applyAlignment="1">
      <alignment horizontal="left"/>
    </xf>
    <xf numFmtId="0" fontId="1" fillId="10" borderId="9" xfId="0" applyFont="1" applyFill="1" applyBorder="1" applyAlignment="1">
      <alignment horizontal="left"/>
    </xf>
    <xf numFmtId="0" fontId="1" fillId="7" borderId="1" xfId="0" applyFont="1" applyFill="1" applyBorder="1" applyAlignment="1">
      <alignment horizontal="left"/>
    </xf>
    <xf numFmtId="0" fontId="1" fillId="7" borderId="3" xfId="0" applyFont="1" applyFill="1" applyBorder="1" applyAlignment="1">
      <alignment horizontal="right"/>
    </xf>
    <xf numFmtId="0" fontId="1" fillId="7" borderId="3" xfId="0" applyFont="1" applyFill="1" applyBorder="1" applyAlignment="1">
      <alignment horizontal="left"/>
    </xf>
    <xf numFmtId="0" fontId="1" fillId="7" borderId="2" xfId="0" applyFont="1" applyFill="1" applyBorder="1" applyAlignment="1">
      <alignment horizontal="left"/>
    </xf>
    <xf numFmtId="0" fontId="1" fillId="8" borderId="1" xfId="0" applyFont="1" applyFill="1" applyBorder="1" applyAlignment="1">
      <alignment horizontal="left"/>
    </xf>
    <xf numFmtId="0" fontId="1" fillId="8" borderId="3" xfId="0" applyFont="1" applyFill="1" applyBorder="1" applyAlignment="1">
      <alignment horizontal="left"/>
    </xf>
    <xf numFmtId="0" fontId="1" fillId="8" borderId="2" xfId="0" applyFont="1" applyFill="1" applyBorder="1" applyAlignment="1">
      <alignment horizontal="left"/>
    </xf>
    <xf numFmtId="0" fontId="1" fillId="10" borderId="1" xfId="0" applyFont="1" applyFill="1" applyBorder="1" applyAlignment="1">
      <alignment horizontal="left"/>
    </xf>
    <xf numFmtId="0" fontId="1" fillId="10" borderId="3" xfId="0" applyFont="1" applyFill="1" applyBorder="1" applyAlignment="1">
      <alignment horizontal="right"/>
    </xf>
    <xf numFmtId="0" fontId="1" fillId="10" borderId="3" xfId="0" applyFont="1" applyFill="1" applyBorder="1" applyAlignment="1">
      <alignment horizontal="left"/>
    </xf>
    <xf numFmtId="0" fontId="1" fillId="10" borderId="2" xfId="0" applyFont="1" applyFill="1" applyBorder="1" applyAlignment="1">
      <alignment horizontal="left"/>
    </xf>
    <xf numFmtId="0" fontId="8" fillId="6" borderId="11" xfId="0" applyFont="1" applyFill="1" applyBorder="1"/>
    <xf numFmtId="0" fontId="8" fillId="6" borderId="9" xfId="0" applyFont="1" applyFill="1" applyBorder="1"/>
    <xf numFmtId="0" fontId="8" fillId="7" borderId="0" xfId="0" applyFont="1" applyFill="1"/>
    <xf numFmtId="0" fontId="8" fillId="7" borderId="8" xfId="0" applyFont="1" applyFill="1" applyBorder="1"/>
    <xf numFmtId="0" fontId="8" fillId="7" borderId="11" xfId="0" applyFont="1" applyFill="1" applyBorder="1"/>
    <xf numFmtId="0" fontId="8" fillId="8" borderId="11" xfId="0" applyFont="1" applyFill="1" applyBorder="1"/>
    <xf numFmtId="0" fontId="8" fillId="8" borderId="9" xfId="0" applyFont="1" applyFill="1" applyBorder="1"/>
    <xf numFmtId="0" fontId="9" fillId="0" borderId="0" xfId="0" applyFont="1"/>
    <xf numFmtId="0" fontId="2" fillId="3" borderId="1" xfId="0" applyFont="1" applyFill="1" applyBorder="1" applyAlignment="1">
      <alignment horizontal="center"/>
    </xf>
    <xf numFmtId="0" fontId="2" fillId="3" borderId="3" xfId="0" applyFont="1" applyFill="1" applyBorder="1" applyAlignment="1">
      <alignment horizontal="center"/>
    </xf>
    <xf numFmtId="0" fontId="2" fillId="3" borderId="2" xfId="0" applyFont="1" applyFill="1" applyBorder="1" applyAlignment="1">
      <alignment horizontal="center"/>
    </xf>
    <xf numFmtId="0" fontId="2" fillId="2" borderId="1" xfId="0" applyFont="1" applyFill="1" applyBorder="1" applyAlignment="1">
      <alignment horizontal="center"/>
    </xf>
    <xf numFmtId="0" fontId="2" fillId="2" borderId="3" xfId="0" applyFont="1" applyFill="1" applyBorder="1" applyAlignment="1">
      <alignment horizontal="center"/>
    </xf>
    <xf numFmtId="0" fontId="2" fillId="2" borderId="2" xfId="0" applyFont="1" applyFill="1" applyBorder="1" applyAlignment="1">
      <alignment horizontal="center"/>
    </xf>
    <xf numFmtId="0" fontId="2" fillId="4" borderId="1" xfId="0" applyFont="1" applyFill="1" applyBorder="1" applyAlignment="1">
      <alignment horizontal="center"/>
    </xf>
    <xf numFmtId="0" fontId="2" fillId="4" borderId="3" xfId="0" applyFont="1" applyFill="1" applyBorder="1" applyAlignment="1">
      <alignment horizontal="center"/>
    </xf>
    <xf numFmtId="0" fontId="2" fillId="4" borderId="2" xfId="0" applyFont="1" applyFill="1" applyBorder="1" applyAlignment="1">
      <alignment horizontal="center"/>
    </xf>
    <xf numFmtId="0" fontId="2" fillId="5" borderId="1" xfId="0" applyFont="1" applyFill="1" applyBorder="1" applyAlignment="1">
      <alignment horizontal="center"/>
    </xf>
    <xf numFmtId="0" fontId="2" fillId="5" borderId="3" xfId="0" applyFont="1" applyFill="1" applyBorder="1" applyAlignment="1">
      <alignment horizontal="center"/>
    </xf>
    <xf numFmtId="0" fontId="2" fillId="5" borderId="2" xfId="0" applyFont="1" applyFill="1" applyBorder="1" applyAlignment="1">
      <alignment horizontal="center"/>
    </xf>
    <xf numFmtId="0" fontId="5" fillId="6" borderId="4" xfId="0" applyFont="1" applyFill="1" applyBorder="1" applyAlignment="1">
      <alignment horizontal="center"/>
    </xf>
    <xf numFmtId="0" fontId="5" fillId="6" borderId="5" xfId="0" applyFont="1" applyFill="1" applyBorder="1" applyAlignment="1">
      <alignment horizontal="center"/>
    </xf>
    <xf numFmtId="0" fontId="5" fillId="6" borderId="6" xfId="0" applyFont="1" applyFill="1" applyBorder="1" applyAlignment="1">
      <alignment horizontal="center"/>
    </xf>
    <xf numFmtId="0" fontId="5" fillId="7" borderId="10" xfId="0" applyFont="1" applyFill="1" applyBorder="1" applyAlignment="1">
      <alignment horizontal="center"/>
    </xf>
    <xf numFmtId="0" fontId="5" fillId="7" borderId="0" xfId="0" applyFont="1" applyFill="1" applyAlignment="1">
      <alignment horizontal="center"/>
    </xf>
    <xf numFmtId="0" fontId="5" fillId="7" borderId="11" xfId="0" applyFont="1" applyFill="1" applyBorder="1" applyAlignment="1">
      <alignment horizontal="center"/>
    </xf>
    <xf numFmtId="0" fontId="5" fillId="8" borderId="10" xfId="0" applyFont="1" applyFill="1" applyBorder="1" applyAlignment="1">
      <alignment horizontal="center"/>
    </xf>
    <xf numFmtId="0" fontId="5" fillId="8" borderId="0" xfId="0" applyFont="1" applyFill="1" applyAlignment="1">
      <alignment horizontal="center"/>
    </xf>
    <xf numFmtId="0" fontId="5" fillId="8" borderId="11" xfId="0" applyFont="1" applyFill="1" applyBorder="1" applyAlignment="1">
      <alignment horizontal="center"/>
    </xf>
    <xf numFmtId="0" fontId="5" fillId="6" borderId="10" xfId="0" applyFont="1" applyFill="1" applyBorder="1" applyAlignment="1">
      <alignment horizontal="center"/>
    </xf>
    <xf numFmtId="0" fontId="5" fillId="6" borderId="0" xfId="0" applyFont="1" applyFill="1" applyAlignment="1">
      <alignment horizontal="center"/>
    </xf>
    <xf numFmtId="0" fontId="5" fillId="6" borderId="11" xfId="0" applyFont="1" applyFill="1" applyBorder="1" applyAlignment="1">
      <alignment horizontal="center"/>
    </xf>
    <xf numFmtId="0" fontId="2" fillId="3" borderId="4" xfId="0" applyFont="1" applyFill="1" applyBorder="1" applyAlignment="1">
      <alignment horizontal="center"/>
    </xf>
    <xf numFmtId="0" fontId="2" fillId="3" borderId="5" xfId="0" applyFont="1" applyFill="1" applyBorder="1" applyAlignment="1">
      <alignment horizontal="center"/>
    </xf>
    <xf numFmtId="0" fontId="2" fillId="3" borderId="6" xfId="0" applyFont="1" applyFill="1" applyBorder="1" applyAlignment="1">
      <alignment horizontal="center"/>
    </xf>
    <xf numFmtId="0" fontId="5" fillId="7" borderId="4" xfId="0" applyFont="1" applyFill="1" applyBorder="1" applyAlignment="1">
      <alignment horizontal="center"/>
    </xf>
    <xf numFmtId="0" fontId="5" fillId="7" borderId="5" xfId="0" applyFont="1" applyFill="1" applyBorder="1" applyAlignment="1">
      <alignment horizontal="center"/>
    </xf>
    <xf numFmtId="0" fontId="5" fillId="8" borderId="4" xfId="0" applyFont="1" applyFill="1" applyBorder="1" applyAlignment="1">
      <alignment horizontal="center"/>
    </xf>
    <xf numFmtId="0" fontId="5" fillId="8" borderId="5" xfId="0" applyFont="1" applyFill="1" applyBorder="1" applyAlignment="1">
      <alignment horizontal="center"/>
    </xf>
    <xf numFmtId="0" fontId="5" fillId="8" borderId="6" xfId="0" applyFont="1" applyFill="1" applyBorder="1" applyAlignment="1">
      <alignment horizontal="center"/>
    </xf>
    <xf numFmtId="0" fontId="1" fillId="0" borderId="0" xfId="0" applyFont="1" applyAlignment="1">
      <alignment horizontal="center"/>
    </xf>
    <xf numFmtId="0" fontId="1" fillId="6" borderId="5" xfId="0" applyFont="1" applyFill="1" applyBorder="1" applyAlignment="1">
      <alignment horizontal="center"/>
    </xf>
    <xf numFmtId="0" fontId="1" fillId="6" borderId="6" xfId="0" applyFont="1" applyFill="1" applyBorder="1" applyAlignment="1">
      <alignment horizontal="center"/>
    </xf>
    <xf numFmtId="0" fontId="1" fillId="6" borderId="10" xfId="0" quotePrefix="1" applyFont="1" applyFill="1" applyBorder="1" applyAlignment="1">
      <alignment horizontal="center"/>
    </xf>
    <xf numFmtId="0" fontId="1" fillId="6" borderId="0" xfId="0" applyFont="1" applyFill="1" applyAlignment="1">
      <alignment horizontal="center"/>
    </xf>
    <xf numFmtId="0" fontId="1" fillId="6" borderId="11" xfId="0" applyFont="1" applyFill="1" applyBorder="1" applyAlignment="1">
      <alignment horizontal="center"/>
    </xf>
    <xf numFmtId="0" fontId="2" fillId="9" borderId="1" xfId="0" applyFont="1" applyFill="1" applyBorder="1" applyAlignment="1">
      <alignment horizontal="center"/>
    </xf>
    <xf numFmtId="0" fontId="2" fillId="9" borderId="3" xfId="0" applyFont="1" applyFill="1" applyBorder="1" applyAlignment="1">
      <alignment horizontal="center"/>
    </xf>
    <xf numFmtId="0" fontId="2" fillId="9" borderId="2" xfId="0" applyFont="1" applyFill="1" applyBorder="1" applyAlignment="1">
      <alignment horizontal="center"/>
    </xf>
    <xf numFmtId="0" fontId="5" fillId="10" borderId="4" xfId="0" applyFont="1" applyFill="1" applyBorder="1" applyAlignment="1">
      <alignment horizontal="center"/>
    </xf>
    <xf numFmtId="0" fontId="5" fillId="10" borderId="5" xfId="0" applyFont="1" applyFill="1" applyBorder="1" applyAlignment="1">
      <alignment horizontal="center"/>
    </xf>
    <xf numFmtId="0" fontId="5" fillId="10" borderId="6" xfId="0" applyFont="1" applyFill="1" applyBorder="1" applyAlignment="1">
      <alignment horizontal="center"/>
    </xf>
    <xf numFmtId="0" fontId="5" fillId="10" borderId="10" xfId="0" applyFont="1" applyFill="1" applyBorder="1" applyAlignment="1">
      <alignment horizontal="center"/>
    </xf>
    <xf numFmtId="0" fontId="5" fillId="10" borderId="0" xfId="0" applyFont="1" applyFill="1" applyAlignment="1">
      <alignment horizontal="center"/>
    </xf>
    <xf numFmtId="0" fontId="5" fillId="10" borderId="11" xfId="0" applyFont="1" applyFill="1" applyBorder="1" applyAlignment="1">
      <alignment horizontal="center"/>
    </xf>
    <xf numFmtId="0" fontId="0" fillId="0" borderId="0" xfId="0" applyAlignment="1">
      <alignment vertical="center"/>
    </xf>
    <xf numFmtId="0" fontId="9" fillId="0" borderId="0" xfId="0" applyFont="1" applyFill="1"/>
  </cellXfs>
  <cellStyles count="1">
    <cellStyle name="Normal" xfId="0" builtinId="0"/>
  </cellStyles>
  <dxfs count="0"/>
  <tableStyles count="0" defaultTableStyle="TableStyleMedium2" defaultPivotStyle="PivotStyleLight16"/>
  <colors>
    <mruColors>
      <color rgb="FFFF7171"/>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72872-8033-4B31-8137-7B209A06634B}">
  <dimension ref="A1:M804"/>
  <sheetViews>
    <sheetView topLeftCell="A55" zoomScale="80" zoomScaleNormal="80" workbookViewId="0">
      <selection activeCell="D73" sqref="D73"/>
    </sheetView>
  </sheetViews>
  <sheetFormatPr defaultRowHeight="28.5" x14ac:dyDescent="0.45"/>
  <cols>
    <col min="1" max="1" width="41.140625" style="118" bestFit="1" customWidth="1"/>
    <col min="2" max="2" width="15.28515625" style="118" bestFit="1" customWidth="1"/>
    <col min="3" max="3" width="98" style="118" bestFit="1" customWidth="1"/>
    <col min="4" max="4" width="170.28515625" style="118" bestFit="1" customWidth="1"/>
    <col min="5" max="5" width="115.5703125" style="118" bestFit="1" customWidth="1"/>
    <col min="6" max="6" width="12.28515625" style="118" bestFit="1" customWidth="1"/>
    <col min="7" max="11" width="9.140625" style="118"/>
    <col min="12" max="12" width="36.5703125" style="118" bestFit="1" customWidth="1"/>
    <col min="13" max="13" width="14.5703125" style="118" bestFit="1" customWidth="1"/>
    <col min="14" max="14" width="12.28515625" style="118" bestFit="1" customWidth="1"/>
    <col min="15" max="16384" width="9.140625" style="118"/>
  </cols>
  <sheetData>
    <row r="1" spans="1:13" x14ac:dyDescent="0.45">
      <c r="A1" s="118" t="s">
        <v>578</v>
      </c>
    </row>
    <row r="2" spans="1:13" x14ac:dyDescent="0.45">
      <c r="A2" s="118" t="s">
        <v>435</v>
      </c>
      <c r="B2" s="118">
        <v>336</v>
      </c>
      <c r="C2" s="118" t="s">
        <v>579</v>
      </c>
      <c r="D2" s="118" t="s">
        <v>580</v>
      </c>
    </row>
    <row r="3" spans="1:13" x14ac:dyDescent="0.45">
      <c r="A3" s="118" t="s">
        <v>435</v>
      </c>
      <c r="B3" s="118">
        <v>300</v>
      </c>
      <c r="C3" s="118" t="s">
        <v>581</v>
      </c>
      <c r="D3" s="118" t="s">
        <v>585</v>
      </c>
      <c r="L3" s="118" t="s">
        <v>589</v>
      </c>
      <c r="M3" s="118">
        <f>SUM(B$2:B$988)-M$2-M$1</f>
        <v>428472</v>
      </c>
    </row>
    <row r="4" spans="1:13" x14ac:dyDescent="0.45">
      <c r="A4" s="118" t="s">
        <v>435</v>
      </c>
      <c r="B4" s="118">
        <v>100</v>
      </c>
      <c r="C4" s="118" t="s">
        <v>583</v>
      </c>
      <c r="D4" s="118" t="s">
        <v>586</v>
      </c>
      <c r="L4" s="118" t="s">
        <v>590</v>
      </c>
      <c r="M4" s="118">
        <v>142824</v>
      </c>
    </row>
    <row r="5" spans="1:13" x14ac:dyDescent="0.45">
      <c r="A5" s="118" t="s">
        <v>435</v>
      </c>
      <c r="B5" s="118">
        <v>175</v>
      </c>
      <c r="C5" s="118" t="s">
        <v>584</v>
      </c>
      <c r="D5" s="118" t="s">
        <v>587</v>
      </c>
      <c r="L5" s="118" t="s">
        <v>591</v>
      </c>
      <c r="M5" s="118">
        <f>M4-M3</f>
        <v>-285648</v>
      </c>
    </row>
    <row r="6" spans="1:13" x14ac:dyDescent="0.45">
      <c r="A6" s="118" t="s">
        <v>435</v>
      </c>
      <c r="B6" s="118">
        <v>150</v>
      </c>
      <c r="C6" s="118" t="s">
        <v>588</v>
      </c>
      <c r="D6" s="118" t="s">
        <v>582</v>
      </c>
    </row>
    <row r="7" spans="1:13" x14ac:dyDescent="0.45">
      <c r="A7" s="118" t="s">
        <v>435</v>
      </c>
      <c r="B7" s="118">
        <v>500</v>
      </c>
      <c r="C7" s="118" t="s">
        <v>603</v>
      </c>
      <c r="D7" s="118" t="s">
        <v>604</v>
      </c>
    </row>
    <row r="8" spans="1:13" x14ac:dyDescent="0.45">
      <c r="A8" s="118" t="s">
        <v>592</v>
      </c>
      <c r="B8" s="118">
        <v>150</v>
      </c>
      <c r="C8" s="118" t="s">
        <v>584</v>
      </c>
      <c r="D8" s="118" t="s">
        <v>580</v>
      </c>
    </row>
    <row r="9" spans="1:13" x14ac:dyDescent="0.45">
      <c r="A9" s="118" t="s">
        <v>592</v>
      </c>
      <c r="B9" s="118">
        <v>100</v>
      </c>
      <c r="C9" s="118" t="s">
        <v>583</v>
      </c>
      <c r="D9" s="118" t="s">
        <v>580</v>
      </c>
    </row>
    <row r="10" spans="1:13" x14ac:dyDescent="0.45">
      <c r="A10" s="118" t="s">
        <v>592</v>
      </c>
      <c r="B10" s="118">
        <v>20</v>
      </c>
      <c r="C10" s="118" t="s">
        <v>983</v>
      </c>
      <c r="D10" s="118" t="s">
        <v>596</v>
      </c>
    </row>
    <row r="11" spans="1:13" x14ac:dyDescent="0.45">
      <c r="A11" s="118" t="s">
        <v>592</v>
      </c>
      <c r="B11" s="118">
        <v>36</v>
      </c>
      <c r="C11" s="118" t="s">
        <v>579</v>
      </c>
      <c r="D11" s="118" t="s">
        <v>580</v>
      </c>
    </row>
    <row r="12" spans="1:13" x14ac:dyDescent="0.45">
      <c r="A12" s="118" t="s">
        <v>592</v>
      </c>
      <c r="B12" s="118">
        <v>50</v>
      </c>
      <c r="C12" s="118" t="s">
        <v>581</v>
      </c>
      <c r="D12" s="118" t="s">
        <v>580</v>
      </c>
    </row>
    <row r="13" spans="1:13" x14ac:dyDescent="0.45">
      <c r="A13" s="118" t="s">
        <v>592</v>
      </c>
      <c r="B13" s="118">
        <v>60</v>
      </c>
      <c r="C13" s="118" t="s">
        <v>594</v>
      </c>
      <c r="D13" s="118" t="s">
        <v>580</v>
      </c>
    </row>
    <row r="14" spans="1:13" x14ac:dyDescent="0.45">
      <c r="A14" s="118" t="s">
        <v>592</v>
      </c>
      <c r="B14" s="118">
        <v>755</v>
      </c>
      <c r="C14" s="118" t="s">
        <v>601</v>
      </c>
      <c r="D14" s="118" t="s">
        <v>580</v>
      </c>
    </row>
    <row r="15" spans="1:13" x14ac:dyDescent="0.45">
      <c r="A15" s="118" t="s">
        <v>597</v>
      </c>
      <c r="B15" s="118">
        <v>500</v>
      </c>
      <c r="C15" s="118" t="s">
        <v>598</v>
      </c>
      <c r="D15" s="118" t="s">
        <v>599</v>
      </c>
    </row>
    <row r="16" spans="1:13" x14ac:dyDescent="0.45">
      <c r="A16" s="118" t="s">
        <v>600</v>
      </c>
      <c r="B16" s="118">
        <v>250</v>
      </c>
      <c r="C16" s="118" t="s">
        <v>584</v>
      </c>
      <c r="D16" s="118" t="s">
        <v>580</v>
      </c>
    </row>
    <row r="17" spans="1:4" x14ac:dyDescent="0.45">
      <c r="A17" s="118" t="s">
        <v>600</v>
      </c>
      <c r="B17" s="118">
        <v>60</v>
      </c>
      <c r="C17" s="118" t="s">
        <v>594</v>
      </c>
      <c r="D17" s="118" t="s">
        <v>580</v>
      </c>
    </row>
    <row r="18" spans="1:4" x14ac:dyDescent="0.45">
      <c r="A18" s="118" t="s">
        <v>600</v>
      </c>
      <c r="B18" s="118">
        <v>40</v>
      </c>
      <c r="C18" s="118" t="s">
        <v>984</v>
      </c>
      <c r="D18" s="118" t="s">
        <v>580</v>
      </c>
    </row>
    <row r="19" spans="1:4" x14ac:dyDescent="0.45">
      <c r="A19" s="118" t="s">
        <v>600</v>
      </c>
      <c r="B19" s="118">
        <v>25</v>
      </c>
      <c r="C19" s="118" t="s">
        <v>583</v>
      </c>
      <c r="D19" s="118" t="s">
        <v>580</v>
      </c>
    </row>
    <row r="20" spans="1:4" x14ac:dyDescent="0.45">
      <c r="A20" s="118" t="s">
        <v>602</v>
      </c>
      <c r="B20" s="118">
        <v>10</v>
      </c>
      <c r="C20" s="118" t="s">
        <v>579</v>
      </c>
      <c r="D20" s="118" t="s">
        <v>580</v>
      </c>
    </row>
    <row r="21" spans="1:4" x14ac:dyDescent="0.45">
      <c r="A21" s="118" t="s">
        <v>602</v>
      </c>
      <c r="B21" s="118">
        <v>175</v>
      </c>
      <c r="C21" s="118" t="s">
        <v>584</v>
      </c>
      <c r="D21" s="118" t="s">
        <v>580</v>
      </c>
    </row>
    <row r="22" spans="1:4" x14ac:dyDescent="0.45">
      <c r="A22" s="118" t="s">
        <v>602</v>
      </c>
      <c r="B22" s="118">
        <v>30</v>
      </c>
      <c r="C22" s="118" t="s">
        <v>593</v>
      </c>
      <c r="D22" s="118" t="s">
        <v>580</v>
      </c>
    </row>
    <row r="23" spans="1:4" x14ac:dyDescent="0.45">
      <c r="A23" s="118" t="s">
        <v>605</v>
      </c>
      <c r="B23" s="118">
        <v>31</v>
      </c>
      <c r="C23" s="118" t="s">
        <v>579</v>
      </c>
      <c r="D23" s="118" t="s">
        <v>580</v>
      </c>
    </row>
    <row r="24" spans="1:4" x14ac:dyDescent="0.45">
      <c r="A24" s="118" t="s">
        <v>605</v>
      </c>
      <c r="B24" s="118">
        <v>150</v>
      </c>
      <c r="C24" s="118" t="s">
        <v>584</v>
      </c>
      <c r="D24" s="118" t="s">
        <v>580</v>
      </c>
    </row>
    <row r="25" spans="1:4" x14ac:dyDescent="0.45">
      <c r="A25" s="118" t="s">
        <v>605</v>
      </c>
      <c r="B25" s="118">
        <v>75</v>
      </c>
      <c r="C25" s="118" t="s">
        <v>583</v>
      </c>
      <c r="D25" s="118" t="s">
        <v>580</v>
      </c>
    </row>
    <row r="26" spans="1:4" x14ac:dyDescent="0.45">
      <c r="A26" s="118" t="s">
        <v>605</v>
      </c>
      <c r="B26" s="118">
        <v>30</v>
      </c>
      <c r="C26" s="118" t="s">
        <v>593</v>
      </c>
      <c r="D26" s="118" t="s">
        <v>580</v>
      </c>
    </row>
    <row r="27" spans="1:4" x14ac:dyDescent="0.45">
      <c r="A27" s="118" t="s">
        <v>605</v>
      </c>
      <c r="B27" s="118">
        <v>20</v>
      </c>
      <c r="C27" s="118" t="s">
        <v>985</v>
      </c>
      <c r="D27" s="118" t="s">
        <v>608</v>
      </c>
    </row>
    <row r="28" spans="1:4" x14ac:dyDescent="0.45">
      <c r="A28" s="118" t="s">
        <v>605</v>
      </c>
      <c r="B28" s="118">
        <v>500</v>
      </c>
      <c r="C28" s="118" t="s">
        <v>598</v>
      </c>
      <c r="D28" s="118" t="s">
        <v>606</v>
      </c>
    </row>
    <row r="29" spans="1:4" x14ac:dyDescent="0.45">
      <c r="A29" s="118" t="s">
        <v>607</v>
      </c>
      <c r="B29" s="118">
        <v>175</v>
      </c>
      <c r="C29" s="118" t="s">
        <v>583</v>
      </c>
      <c r="D29" s="118" t="s">
        <v>580</v>
      </c>
    </row>
    <row r="30" spans="1:4" x14ac:dyDescent="0.45">
      <c r="A30" s="118" t="s">
        <v>607</v>
      </c>
      <c r="B30" s="118">
        <v>175</v>
      </c>
      <c r="C30" s="118" t="s">
        <v>584</v>
      </c>
      <c r="D30" s="118" t="s">
        <v>580</v>
      </c>
    </row>
    <row r="31" spans="1:4" x14ac:dyDescent="0.45">
      <c r="A31" s="118" t="s">
        <v>607</v>
      </c>
      <c r="B31" s="118">
        <v>20</v>
      </c>
      <c r="C31" s="118" t="s">
        <v>986</v>
      </c>
      <c r="D31" s="118" t="s">
        <v>609</v>
      </c>
    </row>
    <row r="32" spans="1:4" x14ac:dyDescent="0.45">
      <c r="A32" s="118" t="s">
        <v>607</v>
      </c>
      <c r="B32" s="118">
        <v>40</v>
      </c>
      <c r="C32" s="118" t="s">
        <v>985</v>
      </c>
      <c r="D32" s="118" t="s">
        <v>608</v>
      </c>
    </row>
    <row r="33" spans="1:4" x14ac:dyDescent="0.45">
      <c r="A33" s="118" t="s">
        <v>607</v>
      </c>
      <c r="B33" s="118">
        <v>90</v>
      </c>
      <c r="C33" s="118" t="s">
        <v>594</v>
      </c>
      <c r="D33" s="118" t="s">
        <v>580</v>
      </c>
    </row>
    <row r="34" spans="1:4" x14ac:dyDescent="0.45">
      <c r="A34" s="118" t="s">
        <v>607</v>
      </c>
      <c r="B34" s="118">
        <v>11</v>
      </c>
      <c r="C34" s="118" t="s">
        <v>579</v>
      </c>
      <c r="D34" s="118" t="s">
        <v>580</v>
      </c>
    </row>
    <row r="35" spans="1:4" x14ac:dyDescent="0.45">
      <c r="A35" s="118" t="s">
        <v>607</v>
      </c>
      <c r="B35" s="118">
        <v>20</v>
      </c>
      <c r="C35" s="118" t="s">
        <v>983</v>
      </c>
      <c r="D35" s="118" t="s">
        <v>596</v>
      </c>
    </row>
    <row r="36" spans="1:4" x14ac:dyDescent="0.45">
      <c r="A36" s="118" t="s">
        <v>978</v>
      </c>
      <c r="B36" s="118">
        <v>500</v>
      </c>
      <c r="C36" s="118" t="s">
        <v>598</v>
      </c>
      <c r="D36" s="118" t="s">
        <v>599</v>
      </c>
    </row>
    <row r="37" spans="1:4" x14ac:dyDescent="0.45">
      <c r="A37" s="118" t="s">
        <v>978</v>
      </c>
      <c r="B37" s="118">
        <v>40</v>
      </c>
      <c r="C37" s="118" t="s">
        <v>987</v>
      </c>
      <c r="D37" s="118" t="s">
        <v>596</v>
      </c>
    </row>
    <row r="38" spans="1:4" x14ac:dyDescent="0.45">
      <c r="A38" s="118" t="s">
        <v>978</v>
      </c>
      <c r="B38" s="118">
        <v>75</v>
      </c>
      <c r="C38" s="118" t="s">
        <v>583</v>
      </c>
      <c r="D38" s="118" t="s">
        <v>586</v>
      </c>
    </row>
    <row r="39" spans="1:4" x14ac:dyDescent="0.45">
      <c r="A39" s="118" t="s">
        <v>978</v>
      </c>
      <c r="B39" s="118">
        <v>24</v>
      </c>
      <c r="C39" s="118" t="s">
        <v>579</v>
      </c>
      <c r="D39" s="118" t="s">
        <v>580</v>
      </c>
    </row>
    <row r="40" spans="1:4" x14ac:dyDescent="0.45">
      <c r="A40" s="118" t="s">
        <v>610</v>
      </c>
      <c r="C40" s="166"/>
    </row>
    <row r="41" spans="1:4" x14ac:dyDescent="0.45">
      <c r="A41" s="118" t="s">
        <v>611</v>
      </c>
      <c r="B41" s="118">
        <v>50</v>
      </c>
      <c r="C41" s="118" t="s">
        <v>581</v>
      </c>
      <c r="D41" s="118" t="s">
        <v>585</v>
      </c>
    </row>
    <row r="42" spans="1:4" x14ac:dyDescent="0.45">
      <c r="A42" s="118" t="s">
        <v>611</v>
      </c>
      <c r="B42" s="118">
        <v>175</v>
      </c>
      <c r="C42" s="118" t="s">
        <v>584</v>
      </c>
      <c r="D42" s="118" t="s">
        <v>587</v>
      </c>
    </row>
    <row r="43" spans="1:4" x14ac:dyDescent="0.45">
      <c r="A43" s="118" t="s">
        <v>611</v>
      </c>
      <c r="B43" s="118">
        <v>33</v>
      </c>
      <c r="C43" s="118" t="s">
        <v>579</v>
      </c>
      <c r="D43" s="118" t="s">
        <v>580</v>
      </c>
    </row>
    <row r="44" spans="1:4" x14ac:dyDescent="0.45">
      <c r="A44" s="118" t="s">
        <v>611</v>
      </c>
      <c r="B44" s="118">
        <v>125</v>
      </c>
      <c r="C44" s="118" t="s">
        <v>583</v>
      </c>
      <c r="D44" s="118" t="s">
        <v>586</v>
      </c>
    </row>
    <row r="45" spans="1:4" x14ac:dyDescent="0.45">
      <c r="A45" s="118" t="s">
        <v>611</v>
      </c>
      <c r="B45" s="118">
        <v>145</v>
      </c>
      <c r="C45" s="118" t="s">
        <v>988</v>
      </c>
      <c r="D45" s="118" t="s">
        <v>609</v>
      </c>
    </row>
    <row r="46" spans="1:4" x14ac:dyDescent="0.45">
      <c r="A46" s="118" t="s">
        <v>611</v>
      </c>
      <c r="B46" s="118">
        <v>40</v>
      </c>
      <c r="C46" s="118" t="s">
        <v>989</v>
      </c>
      <c r="D46" s="118" t="s">
        <v>609</v>
      </c>
    </row>
    <row r="47" spans="1:4" x14ac:dyDescent="0.45">
      <c r="A47" s="118" t="s">
        <v>611</v>
      </c>
      <c r="B47" s="118">
        <v>75</v>
      </c>
      <c r="C47" s="118" t="s">
        <v>990</v>
      </c>
      <c r="D47" s="118" t="s">
        <v>609</v>
      </c>
    </row>
    <row r="48" spans="1:4" x14ac:dyDescent="0.45">
      <c r="A48" s="118" t="s">
        <v>611</v>
      </c>
      <c r="B48" s="118">
        <v>30</v>
      </c>
      <c r="C48" s="118" t="s">
        <v>593</v>
      </c>
      <c r="D48" s="118" t="s">
        <v>595</v>
      </c>
    </row>
    <row r="49" spans="1:4" x14ac:dyDescent="0.45">
      <c r="A49" s="118" t="s">
        <v>611</v>
      </c>
      <c r="B49" s="118">
        <v>60</v>
      </c>
      <c r="C49" s="118" t="s">
        <v>991</v>
      </c>
      <c r="D49" s="118" t="s">
        <v>608</v>
      </c>
    </row>
    <row r="50" spans="1:4" x14ac:dyDescent="0.45">
      <c r="A50" s="118" t="s">
        <v>611</v>
      </c>
      <c r="B50" s="118">
        <v>31</v>
      </c>
      <c r="C50" s="118" t="s">
        <v>992</v>
      </c>
      <c r="D50" s="118" t="s">
        <v>608</v>
      </c>
    </row>
    <row r="51" spans="1:4" x14ac:dyDescent="0.45">
      <c r="A51" s="118" t="s">
        <v>611</v>
      </c>
      <c r="B51" s="118">
        <v>75</v>
      </c>
      <c r="C51" s="118" t="s">
        <v>612</v>
      </c>
      <c r="D51" s="118" t="s">
        <v>582</v>
      </c>
    </row>
    <row r="52" spans="1:4" x14ac:dyDescent="0.45">
      <c r="A52" s="118" t="s">
        <v>611</v>
      </c>
      <c r="B52" s="118">
        <v>75</v>
      </c>
      <c r="C52" s="118" t="s">
        <v>993</v>
      </c>
      <c r="D52" s="118" t="s">
        <v>595</v>
      </c>
    </row>
    <row r="53" spans="1:4" x14ac:dyDescent="0.45">
      <c r="A53" s="118" t="s">
        <v>611</v>
      </c>
      <c r="B53" s="118">
        <v>1000</v>
      </c>
      <c r="C53" s="118" t="s">
        <v>626</v>
      </c>
      <c r="D53" s="118" t="s">
        <v>627</v>
      </c>
    </row>
    <row r="54" spans="1:4" x14ac:dyDescent="0.45">
      <c r="A54" s="118" t="s">
        <v>611</v>
      </c>
      <c r="B54" s="118">
        <v>2500</v>
      </c>
      <c r="C54" s="118" t="s">
        <v>628</v>
      </c>
      <c r="D54" s="118" t="s">
        <v>629</v>
      </c>
    </row>
    <row r="55" spans="1:4" x14ac:dyDescent="0.45">
      <c r="A55" s="118" t="s">
        <v>611</v>
      </c>
      <c r="B55" s="118">
        <v>50</v>
      </c>
      <c r="C55" s="118" t="s">
        <v>630</v>
      </c>
      <c r="D55" s="118" t="s">
        <v>629</v>
      </c>
    </row>
    <row r="56" spans="1:4" x14ac:dyDescent="0.45">
      <c r="A56" s="118" t="s">
        <v>631</v>
      </c>
      <c r="B56" s="118">
        <v>125</v>
      </c>
      <c r="C56" s="118" t="s">
        <v>579</v>
      </c>
      <c r="D56" s="118" t="s">
        <v>580</v>
      </c>
    </row>
    <row r="57" spans="1:4" x14ac:dyDescent="0.45">
      <c r="A57" s="118" t="s">
        <v>631</v>
      </c>
      <c r="B57" s="118">
        <v>15</v>
      </c>
      <c r="C57" s="118" t="s">
        <v>994</v>
      </c>
      <c r="D57" s="118" t="s">
        <v>608</v>
      </c>
    </row>
    <row r="58" spans="1:4" x14ac:dyDescent="0.45">
      <c r="A58" s="118" t="s">
        <v>631</v>
      </c>
      <c r="B58" s="118">
        <v>15</v>
      </c>
      <c r="C58" s="118" t="s">
        <v>995</v>
      </c>
      <c r="D58" s="118" t="s">
        <v>608</v>
      </c>
    </row>
    <row r="59" spans="1:4" x14ac:dyDescent="0.45">
      <c r="A59" s="118" t="s">
        <v>631</v>
      </c>
      <c r="B59" s="118">
        <v>50</v>
      </c>
      <c r="C59" s="118" t="s">
        <v>584</v>
      </c>
      <c r="D59" s="118" t="s">
        <v>580</v>
      </c>
    </row>
    <row r="60" spans="1:4" x14ac:dyDescent="0.45">
      <c r="A60" s="118" t="s">
        <v>631</v>
      </c>
      <c r="B60" s="118">
        <v>500</v>
      </c>
      <c r="C60" s="118" t="s">
        <v>598</v>
      </c>
      <c r="D60" s="118" t="s">
        <v>599</v>
      </c>
    </row>
    <row r="61" spans="1:4" x14ac:dyDescent="0.45">
      <c r="A61" s="118" t="s">
        <v>631</v>
      </c>
      <c r="B61" s="118">
        <v>30</v>
      </c>
      <c r="C61" s="118" t="s">
        <v>593</v>
      </c>
      <c r="D61" s="118" t="s">
        <v>580</v>
      </c>
    </row>
    <row r="62" spans="1:4" x14ac:dyDescent="0.45">
      <c r="A62" s="118" t="s">
        <v>613</v>
      </c>
      <c r="B62" s="118">
        <v>25</v>
      </c>
      <c r="C62" s="118" t="s">
        <v>996</v>
      </c>
      <c r="D62" s="118" t="s">
        <v>609</v>
      </c>
    </row>
    <row r="63" spans="1:4" x14ac:dyDescent="0.45">
      <c r="A63" s="118" t="s">
        <v>613</v>
      </c>
      <c r="B63" s="118">
        <v>50</v>
      </c>
      <c r="C63" s="118" t="s">
        <v>633</v>
      </c>
      <c r="D63" s="118" t="s">
        <v>609</v>
      </c>
    </row>
    <row r="64" spans="1:4" x14ac:dyDescent="0.45">
      <c r="A64" s="118" t="s">
        <v>613</v>
      </c>
      <c r="B64" s="118">
        <v>30</v>
      </c>
      <c r="C64" s="118" t="s">
        <v>634</v>
      </c>
      <c r="D64" s="118" t="s">
        <v>609</v>
      </c>
    </row>
    <row r="65" spans="1:4" x14ac:dyDescent="0.45">
      <c r="A65" s="118" t="s">
        <v>613</v>
      </c>
      <c r="B65" s="118">
        <v>25</v>
      </c>
      <c r="C65" s="118" t="s">
        <v>997</v>
      </c>
      <c r="D65" s="118" t="s">
        <v>609</v>
      </c>
    </row>
    <row r="66" spans="1:4" x14ac:dyDescent="0.45">
      <c r="A66" s="118" t="s">
        <v>613</v>
      </c>
      <c r="B66" s="118">
        <v>40</v>
      </c>
      <c r="C66" s="118" t="s">
        <v>998</v>
      </c>
      <c r="D66" s="118" t="s">
        <v>608</v>
      </c>
    </row>
    <row r="67" spans="1:4" x14ac:dyDescent="0.45">
      <c r="A67" s="118" t="s">
        <v>614</v>
      </c>
      <c r="B67" s="118">
        <v>75</v>
      </c>
      <c r="C67" s="118" t="s">
        <v>584</v>
      </c>
      <c r="D67" s="118" t="s">
        <v>580</v>
      </c>
    </row>
    <row r="68" spans="1:4" x14ac:dyDescent="0.45">
      <c r="A68" s="118" t="s">
        <v>614</v>
      </c>
      <c r="B68" s="118">
        <v>100</v>
      </c>
      <c r="C68" s="118" t="s">
        <v>583</v>
      </c>
      <c r="D68" s="118" t="s">
        <v>580</v>
      </c>
    </row>
    <row r="69" spans="1:4" x14ac:dyDescent="0.45">
      <c r="A69" s="118" t="s">
        <v>614</v>
      </c>
      <c r="B69" s="118">
        <v>50</v>
      </c>
      <c r="C69" s="118" t="s">
        <v>988</v>
      </c>
      <c r="D69" s="118" t="s">
        <v>580</v>
      </c>
    </row>
    <row r="70" spans="1:4" x14ac:dyDescent="0.45">
      <c r="A70" s="118" t="s">
        <v>614</v>
      </c>
      <c r="B70" s="118">
        <v>20</v>
      </c>
      <c r="C70" s="118" t="s">
        <v>989</v>
      </c>
      <c r="D70" s="118" t="s">
        <v>580</v>
      </c>
    </row>
    <row r="71" spans="1:4" x14ac:dyDescent="0.45">
      <c r="A71" s="118" t="s">
        <v>615</v>
      </c>
      <c r="B71" s="118">
        <v>20</v>
      </c>
      <c r="C71" s="118" t="s">
        <v>989</v>
      </c>
      <c r="D71" s="118" t="s">
        <v>609</v>
      </c>
    </row>
    <row r="72" spans="1:4" x14ac:dyDescent="0.45">
      <c r="A72" s="118" t="s">
        <v>615</v>
      </c>
      <c r="B72" s="118">
        <v>50</v>
      </c>
      <c r="C72" s="118" t="s">
        <v>583</v>
      </c>
      <c r="D72" s="118" t="s">
        <v>586</v>
      </c>
    </row>
    <row r="73" spans="1:4" x14ac:dyDescent="0.45">
      <c r="A73" s="118" t="s">
        <v>615</v>
      </c>
      <c r="B73" s="118">
        <v>80</v>
      </c>
      <c r="C73" s="118" t="s">
        <v>616</v>
      </c>
      <c r="D73" s="118" t="s">
        <v>627</v>
      </c>
    </row>
    <row r="74" spans="1:4" x14ac:dyDescent="0.45">
      <c r="A74" s="118" t="s">
        <v>615</v>
      </c>
      <c r="B74" s="118">
        <v>25</v>
      </c>
      <c r="C74" s="118" t="s">
        <v>999</v>
      </c>
      <c r="D74" s="118" t="s">
        <v>632</v>
      </c>
    </row>
    <row r="75" spans="1:4" x14ac:dyDescent="0.45">
      <c r="A75" s="118" t="s">
        <v>617</v>
      </c>
      <c r="B75" s="118">
        <v>50</v>
      </c>
      <c r="C75" s="118" t="s">
        <v>988</v>
      </c>
      <c r="D75" s="118" t="s">
        <v>609</v>
      </c>
    </row>
    <row r="76" spans="1:4" x14ac:dyDescent="0.45">
      <c r="A76" s="118" t="s">
        <v>617</v>
      </c>
      <c r="B76" s="118">
        <v>25</v>
      </c>
      <c r="C76" s="118" t="s">
        <v>618</v>
      </c>
      <c r="D76" s="118" t="s">
        <v>580</v>
      </c>
    </row>
    <row r="77" spans="1:4" x14ac:dyDescent="0.45">
      <c r="A77" s="118" t="s">
        <v>619</v>
      </c>
      <c r="B77" s="118">
        <v>25</v>
      </c>
      <c r="C77" s="118" t="s">
        <v>1000</v>
      </c>
      <c r="D77" s="118" t="s">
        <v>635</v>
      </c>
    </row>
    <row r="78" spans="1:4" x14ac:dyDescent="0.45">
      <c r="A78" s="118" t="s">
        <v>619</v>
      </c>
      <c r="B78" s="118">
        <v>15</v>
      </c>
      <c r="C78" s="118" t="s">
        <v>1001</v>
      </c>
      <c r="D78" s="118" t="s">
        <v>636</v>
      </c>
    </row>
    <row r="79" spans="1:4" x14ac:dyDescent="0.45">
      <c r="A79" s="118" t="s">
        <v>619</v>
      </c>
      <c r="B79" s="118">
        <v>25</v>
      </c>
      <c r="C79" s="118" t="s">
        <v>620</v>
      </c>
      <c r="D79" s="118" t="s">
        <v>582</v>
      </c>
    </row>
    <row r="80" spans="1:4" x14ac:dyDescent="0.45">
      <c r="A80" s="118" t="s">
        <v>619</v>
      </c>
      <c r="B80" s="118">
        <v>50</v>
      </c>
      <c r="C80" s="118" t="s">
        <v>621</v>
      </c>
      <c r="D80" s="118" t="s">
        <v>856</v>
      </c>
    </row>
    <row r="81" spans="1:4" x14ac:dyDescent="0.45">
      <c r="A81" s="118" t="s">
        <v>619</v>
      </c>
      <c r="B81" s="118">
        <v>25</v>
      </c>
      <c r="C81" s="118" t="s">
        <v>1002</v>
      </c>
      <c r="D81" s="118" t="s">
        <v>641</v>
      </c>
    </row>
    <row r="82" spans="1:4" x14ac:dyDescent="0.45">
      <c r="A82" s="118" t="s">
        <v>619</v>
      </c>
      <c r="B82" s="118">
        <v>25</v>
      </c>
      <c r="C82" s="118" t="s">
        <v>638</v>
      </c>
      <c r="D82" s="118" t="s">
        <v>642</v>
      </c>
    </row>
    <row r="83" spans="1:4" x14ac:dyDescent="0.45">
      <c r="A83" s="118" t="s">
        <v>619</v>
      </c>
      <c r="B83" s="118">
        <v>30</v>
      </c>
      <c r="C83" s="118" t="s">
        <v>639</v>
      </c>
      <c r="D83" s="118" t="s">
        <v>643</v>
      </c>
    </row>
    <row r="84" spans="1:4" x14ac:dyDescent="0.45">
      <c r="A84" s="118" t="s">
        <v>619</v>
      </c>
      <c r="B84" s="118">
        <v>75</v>
      </c>
      <c r="C84" s="118" t="s">
        <v>637</v>
      </c>
      <c r="D84" s="118" t="s">
        <v>640</v>
      </c>
    </row>
    <row r="85" spans="1:4" x14ac:dyDescent="0.45">
      <c r="A85" s="118" t="s">
        <v>619</v>
      </c>
      <c r="B85" s="118">
        <v>500</v>
      </c>
      <c r="C85" s="118" t="s">
        <v>622</v>
      </c>
      <c r="D85" s="118" t="s">
        <v>625</v>
      </c>
    </row>
    <row r="86" spans="1:4" x14ac:dyDescent="0.45">
      <c r="A86" s="118" t="s">
        <v>619</v>
      </c>
      <c r="B86" s="118">
        <v>1806</v>
      </c>
      <c r="C86" s="118" t="s">
        <v>673</v>
      </c>
      <c r="D86" s="118" t="s">
        <v>580</v>
      </c>
    </row>
    <row r="87" spans="1:4" x14ac:dyDescent="0.45">
      <c r="A87" s="118" t="s">
        <v>623</v>
      </c>
      <c r="B87" s="118">
        <v>75</v>
      </c>
      <c r="C87" s="118" t="s">
        <v>583</v>
      </c>
      <c r="D87" s="118" t="s">
        <v>580</v>
      </c>
    </row>
    <row r="88" spans="1:4" x14ac:dyDescent="0.45">
      <c r="A88" s="118" t="s">
        <v>623</v>
      </c>
      <c r="B88" s="118">
        <v>500</v>
      </c>
      <c r="C88" s="118" t="s">
        <v>624</v>
      </c>
      <c r="D88" s="118" t="s">
        <v>599</v>
      </c>
    </row>
    <row r="89" spans="1:4" x14ac:dyDescent="0.45">
      <c r="A89" s="118" t="s">
        <v>623</v>
      </c>
      <c r="B89" s="118">
        <v>30</v>
      </c>
      <c r="C89" s="118" t="s">
        <v>593</v>
      </c>
      <c r="D89" s="118" t="s">
        <v>580</v>
      </c>
    </row>
    <row r="90" spans="1:4" x14ac:dyDescent="0.45">
      <c r="A90" s="118" t="s">
        <v>644</v>
      </c>
    </row>
    <row r="91" spans="1:4" x14ac:dyDescent="0.45">
      <c r="A91" s="118" t="s">
        <v>645</v>
      </c>
      <c r="B91" s="118">
        <v>896</v>
      </c>
      <c r="C91" s="118" t="s">
        <v>646</v>
      </c>
      <c r="D91" s="118" t="s">
        <v>580</v>
      </c>
    </row>
    <row r="92" spans="1:4" x14ac:dyDescent="0.45">
      <c r="A92" s="118" t="s">
        <v>439</v>
      </c>
      <c r="B92" s="118">
        <v>25</v>
      </c>
      <c r="C92" s="118" t="s">
        <v>1003</v>
      </c>
      <c r="D92" s="118" t="s">
        <v>609</v>
      </c>
    </row>
    <row r="93" spans="1:4" x14ac:dyDescent="0.45">
      <c r="A93" s="118" t="s">
        <v>647</v>
      </c>
      <c r="B93" s="118">
        <v>25</v>
      </c>
      <c r="C93" s="118" t="s">
        <v>1004</v>
      </c>
      <c r="D93" s="118" t="s">
        <v>769</v>
      </c>
    </row>
    <row r="94" spans="1:4" x14ac:dyDescent="0.45">
      <c r="A94" s="118" t="s">
        <v>647</v>
      </c>
      <c r="B94" s="118">
        <v>250</v>
      </c>
      <c r="C94" s="118" t="s">
        <v>584</v>
      </c>
      <c r="D94" s="118" t="s">
        <v>587</v>
      </c>
    </row>
    <row r="95" spans="1:4" x14ac:dyDescent="0.45">
      <c r="A95" s="118" t="s">
        <v>647</v>
      </c>
      <c r="B95" s="118">
        <v>125</v>
      </c>
      <c r="C95" s="118" t="s">
        <v>583</v>
      </c>
      <c r="D95" s="118" t="s">
        <v>586</v>
      </c>
    </row>
    <row r="96" spans="1:4" x14ac:dyDescent="0.45">
      <c r="A96" s="118" t="s">
        <v>647</v>
      </c>
      <c r="B96" s="118">
        <v>250</v>
      </c>
      <c r="C96" s="118" t="s">
        <v>653</v>
      </c>
      <c r="D96" s="118" t="s">
        <v>582</v>
      </c>
    </row>
    <row r="97" spans="1:4" x14ac:dyDescent="0.45">
      <c r="A97" s="118" t="s">
        <v>647</v>
      </c>
      <c r="B97" s="118">
        <v>90</v>
      </c>
      <c r="C97" s="118" t="s">
        <v>648</v>
      </c>
      <c r="D97" s="118" t="s">
        <v>595</v>
      </c>
    </row>
    <row r="98" spans="1:4" x14ac:dyDescent="0.45">
      <c r="A98" s="118" t="s">
        <v>647</v>
      </c>
      <c r="B98" s="118">
        <v>75</v>
      </c>
      <c r="C98" s="118" t="s">
        <v>1005</v>
      </c>
      <c r="D98" s="118" t="s">
        <v>771</v>
      </c>
    </row>
    <row r="99" spans="1:4" x14ac:dyDescent="0.45">
      <c r="A99" s="118" t="s">
        <v>647</v>
      </c>
      <c r="B99" s="118">
        <v>25</v>
      </c>
      <c r="C99" s="118" t="s">
        <v>1006</v>
      </c>
      <c r="D99" s="118" t="s">
        <v>772</v>
      </c>
    </row>
    <row r="100" spans="1:4" x14ac:dyDescent="0.45">
      <c r="A100" s="118" t="s">
        <v>647</v>
      </c>
      <c r="B100" s="118">
        <v>414</v>
      </c>
      <c r="C100" s="118" t="s">
        <v>649</v>
      </c>
      <c r="D100" s="118" t="s">
        <v>582</v>
      </c>
    </row>
    <row r="101" spans="1:4" x14ac:dyDescent="0.45">
      <c r="A101" s="118" t="s">
        <v>647</v>
      </c>
      <c r="B101" s="118">
        <v>150</v>
      </c>
      <c r="C101" s="118" t="s">
        <v>650</v>
      </c>
      <c r="D101" s="118" t="s">
        <v>582</v>
      </c>
    </row>
    <row r="102" spans="1:4" x14ac:dyDescent="0.45">
      <c r="A102" s="118" t="s">
        <v>647</v>
      </c>
      <c r="B102" s="118">
        <v>60</v>
      </c>
      <c r="C102" s="118" t="s">
        <v>651</v>
      </c>
      <c r="D102" s="118" t="s">
        <v>767</v>
      </c>
    </row>
    <row r="103" spans="1:4" x14ac:dyDescent="0.45">
      <c r="A103" s="118" t="s">
        <v>647</v>
      </c>
      <c r="B103" s="118">
        <v>250</v>
      </c>
      <c r="C103" s="118" t="s">
        <v>652</v>
      </c>
      <c r="D103" s="118" t="s">
        <v>582</v>
      </c>
    </row>
    <row r="104" spans="1:4" x14ac:dyDescent="0.45">
      <c r="A104" s="118" t="s">
        <v>647</v>
      </c>
      <c r="B104" s="118">
        <v>75</v>
      </c>
      <c r="C104" s="118" t="s">
        <v>988</v>
      </c>
      <c r="D104" s="118" t="s">
        <v>609</v>
      </c>
    </row>
    <row r="105" spans="1:4" x14ac:dyDescent="0.45">
      <c r="A105" s="118" t="s">
        <v>647</v>
      </c>
      <c r="B105" s="118">
        <v>25</v>
      </c>
      <c r="C105" s="118" t="s">
        <v>1007</v>
      </c>
      <c r="D105" s="118" t="s">
        <v>770</v>
      </c>
    </row>
    <row r="106" spans="1:4" x14ac:dyDescent="0.45">
      <c r="A106" s="118" t="s">
        <v>647</v>
      </c>
      <c r="B106" s="118">
        <v>169</v>
      </c>
      <c r="C106" s="118" t="s">
        <v>579</v>
      </c>
      <c r="D106" s="118" t="s">
        <v>580</v>
      </c>
    </row>
    <row r="107" spans="1:4" x14ac:dyDescent="0.45">
      <c r="A107" s="118" t="s">
        <v>647</v>
      </c>
      <c r="B107" s="118">
        <v>15</v>
      </c>
      <c r="C107" s="118" t="s">
        <v>994</v>
      </c>
      <c r="D107" s="118" t="s">
        <v>608</v>
      </c>
    </row>
    <row r="108" spans="1:4" x14ac:dyDescent="0.45">
      <c r="A108" s="118" t="s">
        <v>647</v>
      </c>
      <c r="B108" s="118">
        <v>20</v>
      </c>
      <c r="C108" s="118" t="s">
        <v>1008</v>
      </c>
      <c r="D108" s="118" t="s">
        <v>773</v>
      </c>
    </row>
    <row r="109" spans="1:4" x14ac:dyDescent="0.45">
      <c r="A109" s="118" t="s">
        <v>647</v>
      </c>
      <c r="B109" s="118">
        <v>50</v>
      </c>
      <c r="C109" s="118" t="s">
        <v>655</v>
      </c>
      <c r="D109" s="118" t="s">
        <v>595</v>
      </c>
    </row>
    <row r="110" spans="1:4" x14ac:dyDescent="0.45">
      <c r="A110" s="118" t="s">
        <v>647</v>
      </c>
      <c r="B110" s="118">
        <v>30</v>
      </c>
      <c r="C110" s="118" t="s">
        <v>654</v>
      </c>
      <c r="D110" s="118" t="s">
        <v>595</v>
      </c>
    </row>
    <row r="111" spans="1:4" x14ac:dyDescent="0.45">
      <c r="A111" s="118" t="s">
        <v>647</v>
      </c>
      <c r="B111" s="118">
        <v>100</v>
      </c>
      <c r="C111" s="118" t="s">
        <v>656</v>
      </c>
      <c r="D111" s="118" t="s">
        <v>595</v>
      </c>
    </row>
    <row r="112" spans="1:4" x14ac:dyDescent="0.45">
      <c r="A112" s="118" t="s">
        <v>647</v>
      </c>
      <c r="B112" s="118">
        <v>20</v>
      </c>
      <c r="C112" s="118" t="s">
        <v>1009</v>
      </c>
      <c r="D112" s="118" t="s">
        <v>636</v>
      </c>
    </row>
    <row r="113" spans="1:4" x14ac:dyDescent="0.45">
      <c r="A113" s="118" t="s">
        <v>657</v>
      </c>
      <c r="B113" s="118">
        <v>19</v>
      </c>
      <c r="C113" s="118" t="s">
        <v>579</v>
      </c>
      <c r="D113" s="118" t="s">
        <v>580</v>
      </c>
    </row>
    <row r="114" spans="1:4" x14ac:dyDescent="0.45">
      <c r="A114" s="118" t="s">
        <v>657</v>
      </c>
      <c r="B114" s="118">
        <v>25</v>
      </c>
      <c r="C114" s="118" t="s">
        <v>1010</v>
      </c>
      <c r="D114" s="118" t="s">
        <v>609</v>
      </c>
    </row>
    <row r="115" spans="1:4" x14ac:dyDescent="0.45">
      <c r="A115" s="118" t="s">
        <v>658</v>
      </c>
      <c r="B115" s="118">
        <v>175</v>
      </c>
      <c r="C115" s="118" t="s">
        <v>584</v>
      </c>
      <c r="D115" s="118" t="s">
        <v>580</v>
      </c>
    </row>
    <row r="116" spans="1:4" x14ac:dyDescent="0.45">
      <c r="A116" s="118" t="s">
        <v>658</v>
      </c>
      <c r="B116" s="118">
        <v>25</v>
      </c>
      <c r="C116" s="118" t="s">
        <v>583</v>
      </c>
      <c r="D116" s="118" t="s">
        <v>580</v>
      </c>
    </row>
    <row r="117" spans="1:4" x14ac:dyDescent="0.45">
      <c r="A117" s="118" t="s">
        <v>658</v>
      </c>
      <c r="B117" s="118">
        <v>75</v>
      </c>
      <c r="C117" s="118" t="s">
        <v>988</v>
      </c>
      <c r="D117" s="118" t="s">
        <v>609</v>
      </c>
    </row>
    <row r="118" spans="1:4" x14ac:dyDescent="0.45">
      <c r="A118" s="118" t="s">
        <v>658</v>
      </c>
      <c r="B118" s="118">
        <v>20</v>
      </c>
      <c r="C118" s="118" t="s">
        <v>989</v>
      </c>
      <c r="D118" s="118" t="s">
        <v>609</v>
      </c>
    </row>
    <row r="119" spans="1:4" x14ac:dyDescent="0.45">
      <c r="A119" s="118" t="s">
        <v>658</v>
      </c>
      <c r="B119" s="118">
        <v>20</v>
      </c>
      <c r="C119" s="118" t="s">
        <v>985</v>
      </c>
      <c r="D119" s="118" t="s">
        <v>608</v>
      </c>
    </row>
    <row r="120" spans="1:4" x14ac:dyDescent="0.45">
      <c r="A120" s="118" t="s">
        <v>658</v>
      </c>
      <c r="B120" s="118">
        <v>23</v>
      </c>
      <c r="C120" s="118" t="s">
        <v>579</v>
      </c>
      <c r="D120" s="118" t="s">
        <v>580</v>
      </c>
    </row>
    <row r="121" spans="1:4" x14ac:dyDescent="0.45">
      <c r="A121" s="118" t="s">
        <v>658</v>
      </c>
      <c r="B121" s="118">
        <v>1523</v>
      </c>
      <c r="C121" s="118" t="s">
        <v>672</v>
      </c>
      <c r="D121" s="118" t="s">
        <v>580</v>
      </c>
    </row>
    <row r="122" spans="1:4" x14ac:dyDescent="0.45">
      <c r="A122" s="118" t="s">
        <v>659</v>
      </c>
      <c r="B122" s="118">
        <v>20</v>
      </c>
      <c r="C122" s="118" t="s">
        <v>983</v>
      </c>
      <c r="D122" s="118" t="s">
        <v>596</v>
      </c>
    </row>
    <row r="123" spans="1:4" x14ac:dyDescent="0.45">
      <c r="A123" s="118" t="s">
        <v>659</v>
      </c>
      <c r="B123" s="118">
        <v>125</v>
      </c>
      <c r="C123" s="118" t="s">
        <v>584</v>
      </c>
      <c r="D123" s="118" t="s">
        <v>587</v>
      </c>
    </row>
    <row r="124" spans="1:4" x14ac:dyDescent="0.45">
      <c r="A124" s="118" t="s">
        <v>659</v>
      </c>
      <c r="B124" s="118">
        <v>25</v>
      </c>
      <c r="C124" s="118" t="s">
        <v>660</v>
      </c>
      <c r="D124" s="118" t="s">
        <v>582</v>
      </c>
    </row>
    <row r="125" spans="1:4" x14ac:dyDescent="0.45">
      <c r="A125" s="118" t="s">
        <v>661</v>
      </c>
      <c r="B125" s="118">
        <v>25</v>
      </c>
      <c r="C125" s="118" t="s">
        <v>1010</v>
      </c>
      <c r="D125" s="118" t="s">
        <v>609</v>
      </c>
    </row>
    <row r="126" spans="1:4" x14ac:dyDescent="0.45">
      <c r="A126" s="118" t="s">
        <v>662</v>
      </c>
      <c r="B126" s="118">
        <v>225</v>
      </c>
      <c r="C126" s="118" t="s">
        <v>584</v>
      </c>
      <c r="D126" s="118" t="s">
        <v>580</v>
      </c>
    </row>
    <row r="127" spans="1:4" x14ac:dyDescent="0.45">
      <c r="A127" s="118" t="s">
        <v>662</v>
      </c>
      <c r="B127" s="118">
        <v>75</v>
      </c>
      <c r="C127" s="118" t="s">
        <v>988</v>
      </c>
      <c r="D127" s="118" t="s">
        <v>609</v>
      </c>
    </row>
    <row r="128" spans="1:4" x14ac:dyDescent="0.45">
      <c r="A128" s="118" t="s">
        <v>662</v>
      </c>
      <c r="B128" s="118">
        <v>60</v>
      </c>
      <c r="C128" s="118" t="s">
        <v>987</v>
      </c>
      <c r="D128" s="118" t="s">
        <v>596</v>
      </c>
    </row>
    <row r="129" spans="1:4" x14ac:dyDescent="0.45">
      <c r="A129" s="118" t="s">
        <v>662</v>
      </c>
      <c r="B129" s="118">
        <v>75</v>
      </c>
      <c r="C129" s="118" t="s">
        <v>583</v>
      </c>
      <c r="D129" s="118" t="s">
        <v>580</v>
      </c>
    </row>
    <row r="130" spans="1:4" x14ac:dyDescent="0.45">
      <c r="A130" s="118" t="s">
        <v>662</v>
      </c>
      <c r="B130" s="118">
        <v>30</v>
      </c>
      <c r="C130" s="118" t="s">
        <v>593</v>
      </c>
      <c r="D130" s="118" t="s">
        <v>580</v>
      </c>
    </row>
    <row r="131" spans="1:4" x14ac:dyDescent="0.45">
      <c r="A131" s="118" t="s">
        <v>662</v>
      </c>
      <c r="B131" s="118">
        <v>100</v>
      </c>
      <c r="C131" s="118" t="s">
        <v>663</v>
      </c>
      <c r="D131" s="118" t="s">
        <v>768</v>
      </c>
    </row>
    <row r="132" spans="1:4" x14ac:dyDescent="0.45">
      <c r="A132" s="118" t="s">
        <v>662</v>
      </c>
      <c r="B132" s="118">
        <v>12</v>
      </c>
      <c r="C132" s="118" t="s">
        <v>664</v>
      </c>
      <c r="D132" s="118" t="s">
        <v>580</v>
      </c>
    </row>
    <row r="133" spans="1:4" x14ac:dyDescent="0.45">
      <c r="A133" s="118" t="s">
        <v>669</v>
      </c>
      <c r="B133" s="118">
        <f>159+255</f>
        <v>414</v>
      </c>
      <c r="C133" s="118" t="s">
        <v>665</v>
      </c>
      <c r="D133" s="118" t="s">
        <v>580</v>
      </c>
    </row>
    <row r="134" spans="1:4" x14ac:dyDescent="0.45">
      <c r="A134" s="118" t="s">
        <v>669</v>
      </c>
      <c r="B134" s="118">
        <v>350</v>
      </c>
      <c r="C134" s="118" t="s">
        <v>666</v>
      </c>
      <c r="D134" s="118" t="s">
        <v>580</v>
      </c>
    </row>
    <row r="135" spans="1:4" x14ac:dyDescent="0.45">
      <c r="A135" s="118" t="s">
        <v>669</v>
      </c>
      <c r="B135" s="118">
        <v>55</v>
      </c>
      <c r="C135" s="118" t="s">
        <v>667</v>
      </c>
      <c r="D135" s="118" t="s">
        <v>580</v>
      </c>
    </row>
    <row r="136" spans="1:4" x14ac:dyDescent="0.45">
      <c r="A136" s="118" t="s">
        <v>669</v>
      </c>
      <c r="B136" s="118">
        <v>175</v>
      </c>
      <c r="C136" s="118" t="s">
        <v>668</v>
      </c>
      <c r="D136" s="118" t="s">
        <v>580</v>
      </c>
    </row>
    <row r="137" spans="1:4" x14ac:dyDescent="0.45">
      <c r="A137" s="118" t="s">
        <v>669</v>
      </c>
      <c r="B137" s="118">
        <v>75</v>
      </c>
      <c r="C137" s="118" t="s">
        <v>1011</v>
      </c>
      <c r="D137" s="118" t="s">
        <v>580</v>
      </c>
    </row>
    <row r="138" spans="1:4" x14ac:dyDescent="0.45">
      <c r="A138" s="118" t="s">
        <v>669</v>
      </c>
      <c r="B138" s="118">
        <v>200</v>
      </c>
      <c r="C138" s="118" t="s">
        <v>1012</v>
      </c>
      <c r="D138" s="118" t="s">
        <v>580</v>
      </c>
    </row>
    <row r="139" spans="1:4" x14ac:dyDescent="0.45">
      <c r="A139" s="118" t="s">
        <v>669</v>
      </c>
      <c r="B139" s="118">
        <v>118</v>
      </c>
      <c r="C139" s="118" t="s">
        <v>671</v>
      </c>
      <c r="D139" s="118" t="s">
        <v>580</v>
      </c>
    </row>
    <row r="140" spans="1:4" x14ac:dyDescent="0.45">
      <c r="A140" s="118" t="s">
        <v>669</v>
      </c>
      <c r="B140" s="118">
        <v>50</v>
      </c>
      <c r="C140" s="118" t="s">
        <v>670</v>
      </c>
      <c r="D140" s="118" t="s">
        <v>580</v>
      </c>
    </row>
    <row r="141" spans="1:4" x14ac:dyDescent="0.45">
      <c r="A141" s="118" t="s">
        <v>674</v>
      </c>
      <c r="B141" s="118">
        <v>6</v>
      </c>
      <c r="C141" s="118" t="s">
        <v>675</v>
      </c>
      <c r="D141" s="118" t="s">
        <v>627</v>
      </c>
    </row>
    <row r="142" spans="1:4" x14ac:dyDescent="0.45">
      <c r="A142" s="118" t="s">
        <v>674</v>
      </c>
      <c r="B142" s="118">
        <v>20</v>
      </c>
      <c r="C142" s="118" t="s">
        <v>1013</v>
      </c>
      <c r="D142" s="118" t="s">
        <v>608</v>
      </c>
    </row>
    <row r="143" spans="1:4" x14ac:dyDescent="0.45">
      <c r="A143" s="118" t="s">
        <v>674</v>
      </c>
      <c r="B143" s="118">
        <v>50</v>
      </c>
      <c r="C143" s="118" t="s">
        <v>677</v>
      </c>
      <c r="D143" s="118" t="s">
        <v>587</v>
      </c>
    </row>
    <row r="144" spans="1:4" x14ac:dyDescent="0.45">
      <c r="A144" s="118" t="s">
        <v>674</v>
      </c>
      <c r="B144" s="118">
        <v>20</v>
      </c>
      <c r="C144" s="118" t="s">
        <v>1014</v>
      </c>
      <c r="D144" s="118" t="s">
        <v>596</v>
      </c>
    </row>
    <row r="145" spans="1:4" x14ac:dyDescent="0.45">
      <c r="A145" s="118" t="s">
        <v>674</v>
      </c>
      <c r="B145" s="118">
        <v>75</v>
      </c>
      <c r="C145" s="118" t="s">
        <v>678</v>
      </c>
      <c r="D145" s="118" t="s">
        <v>595</v>
      </c>
    </row>
    <row r="146" spans="1:4" x14ac:dyDescent="0.45">
      <c r="A146" s="118" t="s">
        <v>674</v>
      </c>
      <c r="B146" s="118">
        <v>20</v>
      </c>
      <c r="C146" s="118" t="s">
        <v>1015</v>
      </c>
      <c r="D146" s="118" t="s">
        <v>774</v>
      </c>
    </row>
    <row r="147" spans="1:4" x14ac:dyDescent="0.45">
      <c r="A147" s="118" t="s">
        <v>674</v>
      </c>
      <c r="B147" s="118">
        <v>40</v>
      </c>
      <c r="C147" s="118" t="s">
        <v>1016</v>
      </c>
      <c r="D147" s="118" t="s">
        <v>636</v>
      </c>
    </row>
    <row r="148" spans="1:4" x14ac:dyDescent="0.45">
      <c r="A148" s="118" t="s">
        <v>674</v>
      </c>
      <c r="B148" s="118">
        <v>25</v>
      </c>
      <c r="C148" s="118" t="s">
        <v>679</v>
      </c>
      <c r="D148" s="118" t="s">
        <v>595</v>
      </c>
    </row>
    <row r="149" spans="1:4" x14ac:dyDescent="0.45">
      <c r="A149" s="118" t="s">
        <v>680</v>
      </c>
      <c r="B149" s="118">
        <v>33</v>
      </c>
      <c r="C149" s="118" t="s">
        <v>579</v>
      </c>
      <c r="D149" s="118" t="s">
        <v>580</v>
      </c>
    </row>
    <row r="150" spans="1:4" x14ac:dyDescent="0.45">
      <c r="A150" s="118" t="s">
        <v>680</v>
      </c>
      <c r="B150" s="118">
        <v>25</v>
      </c>
      <c r="C150" s="118" t="s">
        <v>618</v>
      </c>
      <c r="D150" s="118" t="s">
        <v>586</v>
      </c>
    </row>
    <row r="151" spans="1:4" x14ac:dyDescent="0.45">
      <c r="A151" s="118" t="s">
        <v>680</v>
      </c>
      <c r="B151" s="118">
        <v>75</v>
      </c>
      <c r="C151" s="118" t="s">
        <v>681</v>
      </c>
      <c r="D151" s="118" t="s">
        <v>595</v>
      </c>
    </row>
    <row r="152" spans="1:4" x14ac:dyDescent="0.45">
      <c r="A152" s="118" t="s">
        <v>680</v>
      </c>
      <c r="B152" s="118">
        <v>75</v>
      </c>
      <c r="C152" s="118" t="s">
        <v>1017</v>
      </c>
      <c r="D152" s="118" t="s">
        <v>609</v>
      </c>
    </row>
    <row r="153" spans="1:4" x14ac:dyDescent="0.45">
      <c r="A153" s="118" t="s">
        <v>680</v>
      </c>
      <c r="B153" s="118">
        <v>107</v>
      </c>
      <c r="C153" s="118" t="s">
        <v>683</v>
      </c>
      <c r="D153" s="118" t="s">
        <v>582</v>
      </c>
    </row>
    <row r="154" spans="1:4" x14ac:dyDescent="0.45">
      <c r="A154" s="118" t="s">
        <v>680</v>
      </c>
      <c r="B154" s="118">
        <v>50</v>
      </c>
      <c r="C154" s="118" t="s">
        <v>682</v>
      </c>
      <c r="D154" s="118" t="s">
        <v>582</v>
      </c>
    </row>
    <row r="155" spans="1:4" x14ac:dyDescent="0.45">
      <c r="A155" s="118" t="s">
        <v>680</v>
      </c>
      <c r="B155" s="118">
        <v>30</v>
      </c>
      <c r="C155" s="118" t="s">
        <v>684</v>
      </c>
      <c r="D155" s="118" t="s">
        <v>767</v>
      </c>
    </row>
    <row r="156" spans="1:4" x14ac:dyDescent="0.45">
      <c r="A156" s="118" t="s">
        <v>685</v>
      </c>
    </row>
    <row r="157" spans="1:4" x14ac:dyDescent="0.45">
      <c r="A157" s="118" t="s">
        <v>441</v>
      </c>
      <c r="B157" s="118">
        <v>668</v>
      </c>
      <c r="C157" s="118" t="s">
        <v>579</v>
      </c>
      <c r="D157" s="118" t="s">
        <v>580</v>
      </c>
    </row>
    <row r="158" spans="1:4" x14ac:dyDescent="0.45">
      <c r="A158" s="118" t="s">
        <v>441</v>
      </c>
      <c r="B158" s="118">
        <v>600</v>
      </c>
      <c r="C158" s="118" t="s">
        <v>584</v>
      </c>
      <c r="D158" s="118" t="s">
        <v>587</v>
      </c>
    </row>
    <row r="159" spans="1:4" x14ac:dyDescent="0.45">
      <c r="A159" s="118" t="s">
        <v>441</v>
      </c>
      <c r="B159" s="118">
        <v>175</v>
      </c>
      <c r="C159" s="118" t="s">
        <v>583</v>
      </c>
      <c r="D159" s="118" t="s">
        <v>586</v>
      </c>
    </row>
    <row r="160" spans="1:4" x14ac:dyDescent="0.45">
      <c r="A160" s="118" t="s">
        <v>441</v>
      </c>
      <c r="B160" s="118">
        <v>195</v>
      </c>
      <c r="C160" s="118" t="s">
        <v>648</v>
      </c>
      <c r="D160" s="118" t="s">
        <v>595</v>
      </c>
    </row>
    <row r="161" spans="1:4" x14ac:dyDescent="0.45">
      <c r="A161" s="118" t="s">
        <v>441</v>
      </c>
      <c r="B161" s="118">
        <v>275</v>
      </c>
      <c r="C161" s="118" t="s">
        <v>1018</v>
      </c>
      <c r="D161" s="118" t="s">
        <v>609</v>
      </c>
    </row>
    <row r="162" spans="1:4" x14ac:dyDescent="0.45">
      <c r="A162" s="118" t="s">
        <v>441</v>
      </c>
      <c r="B162" s="118">
        <v>125</v>
      </c>
      <c r="C162" s="118" t="s">
        <v>1019</v>
      </c>
      <c r="D162" s="118" t="s">
        <v>775</v>
      </c>
    </row>
    <row r="163" spans="1:4" x14ac:dyDescent="0.45">
      <c r="A163" s="118" t="s">
        <v>441</v>
      </c>
      <c r="B163" s="118">
        <v>100</v>
      </c>
      <c r="C163" s="118" t="s">
        <v>1020</v>
      </c>
      <c r="D163" s="118" t="s">
        <v>609</v>
      </c>
    </row>
    <row r="164" spans="1:4" x14ac:dyDescent="0.45">
      <c r="A164" s="118" t="s">
        <v>441</v>
      </c>
      <c r="B164" s="118">
        <v>100</v>
      </c>
      <c r="C164" s="118" t="s">
        <v>686</v>
      </c>
      <c r="D164" s="118" t="s">
        <v>768</v>
      </c>
    </row>
    <row r="165" spans="1:4" x14ac:dyDescent="0.45">
      <c r="A165" s="118" t="s">
        <v>441</v>
      </c>
      <c r="B165" s="118">
        <v>20</v>
      </c>
      <c r="C165" s="118" t="s">
        <v>985</v>
      </c>
      <c r="D165" s="118" t="s">
        <v>608</v>
      </c>
    </row>
    <row r="166" spans="1:4" x14ac:dyDescent="0.45">
      <c r="A166" s="118" t="s">
        <v>441</v>
      </c>
      <c r="B166" s="118">
        <v>40</v>
      </c>
      <c r="C166" s="118" t="s">
        <v>983</v>
      </c>
      <c r="D166" s="118" t="s">
        <v>596</v>
      </c>
    </row>
    <row r="167" spans="1:4" x14ac:dyDescent="0.45">
      <c r="A167" s="118" t="s">
        <v>565</v>
      </c>
      <c r="B167" s="118">
        <v>244</v>
      </c>
      <c r="C167" s="118" t="s">
        <v>579</v>
      </c>
      <c r="D167" s="118" t="s">
        <v>580</v>
      </c>
    </row>
    <row r="168" spans="1:4" x14ac:dyDescent="0.45">
      <c r="A168" s="118" t="s">
        <v>565</v>
      </c>
      <c r="B168" s="118">
        <v>50</v>
      </c>
      <c r="C168" s="118" t="s">
        <v>584</v>
      </c>
      <c r="D168" s="118" t="s">
        <v>587</v>
      </c>
    </row>
    <row r="169" spans="1:4" x14ac:dyDescent="0.45">
      <c r="A169" s="118" t="s">
        <v>565</v>
      </c>
      <c r="B169" s="118">
        <v>125</v>
      </c>
      <c r="C169" s="118" t="s">
        <v>583</v>
      </c>
      <c r="D169" s="118" t="s">
        <v>586</v>
      </c>
    </row>
    <row r="170" spans="1:4" x14ac:dyDescent="0.45">
      <c r="A170" s="118" t="s">
        <v>565</v>
      </c>
      <c r="B170" s="118">
        <v>50</v>
      </c>
      <c r="C170" s="118" t="s">
        <v>648</v>
      </c>
      <c r="D170" s="118" t="s">
        <v>595</v>
      </c>
    </row>
    <row r="171" spans="1:4" x14ac:dyDescent="0.45">
      <c r="A171" s="118" t="s">
        <v>565</v>
      </c>
      <c r="B171" s="118">
        <v>20</v>
      </c>
      <c r="C171" s="118" t="s">
        <v>984</v>
      </c>
      <c r="D171" s="118" t="s">
        <v>609</v>
      </c>
    </row>
    <row r="172" spans="1:4" x14ac:dyDescent="0.45">
      <c r="A172" s="118" t="s">
        <v>565</v>
      </c>
      <c r="B172" s="118">
        <v>40</v>
      </c>
      <c r="C172" s="118" t="s">
        <v>1021</v>
      </c>
      <c r="D172" s="118" t="s">
        <v>781</v>
      </c>
    </row>
    <row r="173" spans="1:4" x14ac:dyDescent="0.45">
      <c r="A173" s="118" t="s">
        <v>565</v>
      </c>
      <c r="B173" s="118">
        <v>20</v>
      </c>
      <c r="C173" s="118" t="s">
        <v>1022</v>
      </c>
      <c r="D173" s="118" t="s">
        <v>774</v>
      </c>
    </row>
    <row r="174" spans="1:4" x14ac:dyDescent="0.45">
      <c r="A174" s="118" t="s">
        <v>565</v>
      </c>
      <c r="B174" s="118">
        <v>20</v>
      </c>
      <c r="C174" s="118" t="s">
        <v>983</v>
      </c>
      <c r="D174" s="118" t="s">
        <v>596</v>
      </c>
    </row>
    <row r="175" spans="1:4" x14ac:dyDescent="0.45">
      <c r="A175" s="118" t="s">
        <v>565</v>
      </c>
      <c r="B175" s="118">
        <v>20</v>
      </c>
      <c r="C175" s="118" t="s">
        <v>986</v>
      </c>
      <c r="D175" s="118" t="s">
        <v>609</v>
      </c>
    </row>
    <row r="176" spans="1:4" x14ac:dyDescent="0.45">
      <c r="A176" s="118" t="s">
        <v>565</v>
      </c>
      <c r="B176" s="118">
        <v>100</v>
      </c>
      <c r="C176" s="118" t="s">
        <v>688</v>
      </c>
      <c r="D176" s="118" t="s">
        <v>595</v>
      </c>
    </row>
    <row r="177" spans="1:4" x14ac:dyDescent="0.45">
      <c r="A177" s="118" t="s">
        <v>565</v>
      </c>
      <c r="B177" s="118">
        <v>25</v>
      </c>
      <c r="C177" s="118" t="s">
        <v>689</v>
      </c>
      <c r="D177" s="118" t="s">
        <v>595</v>
      </c>
    </row>
    <row r="178" spans="1:4" x14ac:dyDescent="0.45">
      <c r="A178" s="118" t="s">
        <v>687</v>
      </c>
      <c r="B178" s="118">
        <v>125</v>
      </c>
      <c r="C178" s="118" t="s">
        <v>584</v>
      </c>
      <c r="D178" s="118" t="s">
        <v>580</v>
      </c>
    </row>
    <row r="179" spans="1:4" x14ac:dyDescent="0.45">
      <c r="A179" s="118" t="s">
        <v>687</v>
      </c>
      <c r="B179" s="118">
        <v>30</v>
      </c>
      <c r="C179" s="118" t="s">
        <v>593</v>
      </c>
      <c r="D179" s="118" t="s">
        <v>580</v>
      </c>
    </row>
    <row r="180" spans="1:4" x14ac:dyDescent="0.45">
      <c r="A180" s="118" t="s">
        <v>687</v>
      </c>
      <c r="B180" s="118">
        <v>100</v>
      </c>
      <c r="C180" s="118" t="s">
        <v>1020</v>
      </c>
      <c r="D180" s="118" t="s">
        <v>609</v>
      </c>
    </row>
    <row r="181" spans="1:4" x14ac:dyDescent="0.45">
      <c r="A181" s="118" t="s">
        <v>687</v>
      </c>
      <c r="B181" s="118">
        <v>50</v>
      </c>
      <c r="C181" s="118" t="s">
        <v>1019</v>
      </c>
      <c r="D181" s="118" t="s">
        <v>784</v>
      </c>
    </row>
    <row r="182" spans="1:4" x14ac:dyDescent="0.45">
      <c r="A182" s="118" t="s">
        <v>687</v>
      </c>
      <c r="B182" s="118">
        <v>50</v>
      </c>
      <c r="C182" s="118" t="s">
        <v>691</v>
      </c>
      <c r="D182" s="118" t="s">
        <v>580</v>
      </c>
    </row>
    <row r="183" spans="1:4" x14ac:dyDescent="0.45">
      <c r="A183" s="118" t="s">
        <v>687</v>
      </c>
      <c r="B183" s="118">
        <v>48</v>
      </c>
      <c r="C183" s="118" t="s">
        <v>690</v>
      </c>
      <c r="D183" s="118" t="s">
        <v>580</v>
      </c>
    </row>
    <row r="184" spans="1:4" x14ac:dyDescent="0.45">
      <c r="A184" s="118" t="s">
        <v>687</v>
      </c>
      <c r="B184" s="118">
        <v>25</v>
      </c>
      <c r="C184" s="118" t="s">
        <v>1023</v>
      </c>
      <c r="D184" s="118" t="s">
        <v>609</v>
      </c>
    </row>
    <row r="185" spans="1:4" x14ac:dyDescent="0.45">
      <c r="A185" s="118" t="s">
        <v>687</v>
      </c>
      <c r="B185" s="118">
        <v>25</v>
      </c>
      <c r="C185" s="118" t="s">
        <v>692</v>
      </c>
      <c r="D185" s="118" t="s">
        <v>580</v>
      </c>
    </row>
    <row r="186" spans="1:4" x14ac:dyDescent="0.45">
      <c r="A186" s="118" t="s">
        <v>687</v>
      </c>
      <c r="B186" s="118">
        <v>25</v>
      </c>
      <c r="C186" s="118" t="s">
        <v>693</v>
      </c>
      <c r="D186" s="118" t="s">
        <v>580</v>
      </c>
    </row>
    <row r="187" spans="1:4" x14ac:dyDescent="0.45">
      <c r="A187" s="118" t="s">
        <v>445</v>
      </c>
      <c r="B187" s="118">
        <v>100</v>
      </c>
      <c r="C187" s="118" t="s">
        <v>1018</v>
      </c>
      <c r="D187" s="118" t="s">
        <v>609</v>
      </c>
    </row>
    <row r="188" spans="1:4" x14ac:dyDescent="0.45">
      <c r="A188" s="118" t="s">
        <v>694</v>
      </c>
      <c r="B188" s="118">
        <v>20</v>
      </c>
      <c r="C188" s="118" t="s">
        <v>1024</v>
      </c>
      <c r="D188" s="118" t="s">
        <v>636</v>
      </c>
    </row>
    <row r="189" spans="1:4" x14ac:dyDescent="0.45">
      <c r="A189" s="118" t="s">
        <v>694</v>
      </c>
      <c r="B189" s="118">
        <v>2000</v>
      </c>
      <c r="C189" s="118" t="s">
        <v>695</v>
      </c>
      <c r="D189" s="118" t="s">
        <v>627</v>
      </c>
    </row>
    <row r="190" spans="1:4" x14ac:dyDescent="0.45">
      <c r="A190" s="118" t="s">
        <v>694</v>
      </c>
      <c r="B190" s="118">
        <v>1000</v>
      </c>
      <c r="C190" s="118" t="s">
        <v>697</v>
      </c>
      <c r="D190" s="118" t="s">
        <v>785</v>
      </c>
    </row>
    <row r="191" spans="1:4" x14ac:dyDescent="0.45">
      <c r="A191" s="118" t="s">
        <v>694</v>
      </c>
      <c r="B191" s="118">
        <v>125</v>
      </c>
      <c r="C191" s="118" t="s">
        <v>1102</v>
      </c>
      <c r="D191" s="118" t="s">
        <v>768</v>
      </c>
    </row>
    <row r="192" spans="1:4" x14ac:dyDescent="0.45">
      <c r="A192" s="118" t="s">
        <v>694</v>
      </c>
      <c r="B192" s="118">
        <v>150</v>
      </c>
      <c r="C192" s="118" t="s">
        <v>1103</v>
      </c>
      <c r="D192" s="118" t="s">
        <v>768</v>
      </c>
    </row>
    <row r="193" spans="1:5" x14ac:dyDescent="0.45">
      <c r="A193" s="118" t="s">
        <v>694</v>
      </c>
      <c r="B193" s="118">
        <v>50</v>
      </c>
      <c r="C193" s="118" t="s">
        <v>696</v>
      </c>
      <c r="D193" s="118" t="s">
        <v>785</v>
      </c>
    </row>
    <row r="194" spans="1:5" x14ac:dyDescent="0.45">
      <c r="A194" s="118" t="s">
        <v>694</v>
      </c>
      <c r="B194" s="118">
        <v>20</v>
      </c>
      <c r="C194" s="118" t="s">
        <v>698</v>
      </c>
      <c r="D194" s="118" t="s">
        <v>627</v>
      </c>
    </row>
    <row r="195" spans="1:5" x14ac:dyDescent="0.45">
      <c r="A195" s="118" t="s">
        <v>699</v>
      </c>
      <c r="B195" s="118">
        <v>200</v>
      </c>
      <c r="C195" s="118" t="s">
        <v>579</v>
      </c>
      <c r="D195" s="118" t="s">
        <v>580</v>
      </c>
    </row>
    <row r="196" spans="1:5" x14ac:dyDescent="0.45">
      <c r="A196" s="118" t="s">
        <v>699</v>
      </c>
      <c r="B196" s="118">
        <v>50</v>
      </c>
      <c r="C196" s="118" t="s">
        <v>583</v>
      </c>
      <c r="D196" s="118" t="s">
        <v>580</v>
      </c>
    </row>
    <row r="197" spans="1:5" x14ac:dyDescent="0.45">
      <c r="A197" s="118" t="s">
        <v>699</v>
      </c>
      <c r="B197" s="118">
        <v>275</v>
      </c>
      <c r="C197" s="118" t="s">
        <v>593</v>
      </c>
      <c r="D197" s="118" t="s">
        <v>580</v>
      </c>
    </row>
    <row r="198" spans="1:5" x14ac:dyDescent="0.45">
      <c r="A198" s="118" t="s">
        <v>699</v>
      </c>
      <c r="B198" s="118">
        <v>25</v>
      </c>
      <c r="C198" s="118" t="s">
        <v>1020</v>
      </c>
      <c r="D198" s="118" t="s">
        <v>609</v>
      </c>
    </row>
    <row r="199" spans="1:5" x14ac:dyDescent="0.45">
      <c r="A199" s="118" t="s">
        <v>700</v>
      </c>
      <c r="B199" s="118">
        <v>20</v>
      </c>
      <c r="C199" s="118" t="s">
        <v>1025</v>
      </c>
      <c r="D199" s="118" t="s">
        <v>596</v>
      </c>
    </row>
    <row r="200" spans="1:5" x14ac:dyDescent="0.45">
      <c r="A200" s="118" t="s">
        <v>700</v>
      </c>
      <c r="B200" s="118">
        <v>50</v>
      </c>
      <c r="C200" s="118" t="s">
        <v>701</v>
      </c>
      <c r="D200" s="118" t="s">
        <v>587</v>
      </c>
    </row>
    <row r="201" spans="1:5" x14ac:dyDescent="0.45">
      <c r="A201" s="118" t="s">
        <v>700</v>
      </c>
      <c r="B201" s="118">
        <v>20</v>
      </c>
      <c r="C201" s="118" t="s">
        <v>1026</v>
      </c>
      <c r="D201" s="118" t="s">
        <v>786</v>
      </c>
    </row>
    <row r="202" spans="1:5" x14ac:dyDescent="0.45">
      <c r="A202" s="118" t="s">
        <v>700</v>
      </c>
      <c r="B202" s="118">
        <v>188</v>
      </c>
      <c r="C202" s="118" t="s">
        <v>702</v>
      </c>
      <c r="D202" s="118" t="s">
        <v>787</v>
      </c>
    </row>
    <row r="203" spans="1:5" x14ac:dyDescent="0.45">
      <c r="A203" s="118" t="s">
        <v>700</v>
      </c>
      <c r="B203" s="118">
        <v>100</v>
      </c>
      <c r="C203" s="118" t="s">
        <v>703</v>
      </c>
      <c r="D203" s="118" t="s">
        <v>787</v>
      </c>
    </row>
    <row r="204" spans="1:5" x14ac:dyDescent="0.45">
      <c r="A204" s="118" t="s">
        <v>700</v>
      </c>
      <c r="B204" s="118">
        <v>30</v>
      </c>
      <c r="C204" s="118" t="s">
        <v>704</v>
      </c>
      <c r="D204" s="118" t="s">
        <v>778</v>
      </c>
    </row>
    <row r="205" spans="1:5" x14ac:dyDescent="0.45">
      <c r="A205" s="118" t="s">
        <v>700</v>
      </c>
      <c r="B205" s="118">
        <v>75</v>
      </c>
      <c r="C205" s="118" t="s">
        <v>1027</v>
      </c>
      <c r="D205" s="118" t="s">
        <v>787</v>
      </c>
    </row>
    <row r="206" spans="1:5" x14ac:dyDescent="0.45">
      <c r="A206" s="118" t="s">
        <v>700</v>
      </c>
      <c r="B206" s="118">
        <v>100</v>
      </c>
      <c r="C206" s="118" t="s">
        <v>705</v>
      </c>
      <c r="D206" s="118" t="s">
        <v>787</v>
      </c>
    </row>
    <row r="207" spans="1:5" x14ac:dyDescent="0.45">
      <c r="A207" s="118" t="s">
        <v>706</v>
      </c>
      <c r="B207" s="118">
        <v>175</v>
      </c>
      <c r="C207" s="118" t="s">
        <v>1028</v>
      </c>
      <c r="D207" s="118" t="s">
        <v>796</v>
      </c>
      <c r="E207" s="118" t="s">
        <v>789</v>
      </c>
    </row>
    <row r="208" spans="1:5" x14ac:dyDescent="0.45">
      <c r="A208" s="118" t="s">
        <v>706</v>
      </c>
      <c r="B208" s="118">
        <v>75</v>
      </c>
      <c r="C208" s="118" t="s">
        <v>707</v>
      </c>
      <c r="D208" s="118" t="s">
        <v>788</v>
      </c>
      <c r="E208" s="118" t="s">
        <v>789</v>
      </c>
    </row>
    <row r="209" spans="1:4" x14ac:dyDescent="0.45">
      <c r="A209" s="118" t="s">
        <v>706</v>
      </c>
      <c r="B209" s="118">
        <v>40</v>
      </c>
      <c r="C209" s="118" t="s">
        <v>1029</v>
      </c>
      <c r="D209" s="118" t="s">
        <v>609</v>
      </c>
    </row>
    <row r="210" spans="1:4" x14ac:dyDescent="0.45">
      <c r="A210" s="118" t="s">
        <v>706</v>
      </c>
      <c r="B210" s="118">
        <v>75</v>
      </c>
      <c r="C210" s="118" t="s">
        <v>990</v>
      </c>
      <c r="D210" s="118" t="s">
        <v>609</v>
      </c>
    </row>
    <row r="211" spans="1:4" x14ac:dyDescent="0.45">
      <c r="A211" s="118" t="s">
        <v>706</v>
      </c>
      <c r="B211" s="118">
        <v>100</v>
      </c>
      <c r="C211" s="118" t="s">
        <v>584</v>
      </c>
      <c r="D211" s="118" t="s">
        <v>587</v>
      </c>
    </row>
    <row r="212" spans="1:4" x14ac:dyDescent="0.45">
      <c r="A212" s="118" t="s">
        <v>706</v>
      </c>
      <c r="B212" s="118">
        <v>20</v>
      </c>
      <c r="C212" s="118" t="s">
        <v>983</v>
      </c>
      <c r="D212" s="118" t="s">
        <v>596</v>
      </c>
    </row>
    <row r="213" spans="1:4" x14ac:dyDescent="0.45">
      <c r="A213" s="118" t="s">
        <v>706</v>
      </c>
      <c r="B213" s="118">
        <v>54</v>
      </c>
      <c r="C213" s="118" t="s">
        <v>579</v>
      </c>
      <c r="D213" s="118" t="s">
        <v>580</v>
      </c>
    </row>
    <row r="214" spans="1:4" x14ac:dyDescent="0.45">
      <c r="A214" s="118" t="s">
        <v>710</v>
      </c>
      <c r="B214" s="118">
        <v>60</v>
      </c>
      <c r="C214" s="118" t="s">
        <v>708</v>
      </c>
      <c r="D214" s="118" t="s">
        <v>709</v>
      </c>
    </row>
    <row r="215" spans="1:4" x14ac:dyDescent="0.45">
      <c r="A215" s="118" t="s">
        <v>710</v>
      </c>
      <c r="B215" s="118">
        <v>250</v>
      </c>
      <c r="C215" s="118" t="s">
        <v>584</v>
      </c>
      <c r="D215" s="118" t="s">
        <v>587</v>
      </c>
    </row>
    <row r="216" spans="1:4" x14ac:dyDescent="0.45">
      <c r="A216" s="118" t="s">
        <v>710</v>
      </c>
      <c r="B216" s="118">
        <v>175</v>
      </c>
      <c r="C216" s="118" t="s">
        <v>583</v>
      </c>
      <c r="D216" s="118" t="s">
        <v>586</v>
      </c>
    </row>
    <row r="217" spans="1:4" x14ac:dyDescent="0.45">
      <c r="A217" s="118" t="s">
        <v>710</v>
      </c>
      <c r="B217" s="118">
        <v>20</v>
      </c>
      <c r="C217" s="118" t="s">
        <v>1030</v>
      </c>
      <c r="D217" s="118" t="s">
        <v>609</v>
      </c>
    </row>
    <row r="218" spans="1:4" x14ac:dyDescent="0.45">
      <c r="A218" s="118" t="s">
        <v>710</v>
      </c>
      <c r="B218" s="118">
        <v>268</v>
      </c>
      <c r="C218" s="118" t="s">
        <v>714</v>
      </c>
      <c r="D218" s="118" t="s">
        <v>580</v>
      </c>
    </row>
    <row r="219" spans="1:4" x14ac:dyDescent="0.45">
      <c r="A219" s="118" t="s">
        <v>710</v>
      </c>
      <c r="B219" s="118">
        <v>100</v>
      </c>
      <c r="C219" s="118" t="s">
        <v>1020</v>
      </c>
      <c r="D219" s="118" t="s">
        <v>609</v>
      </c>
    </row>
    <row r="220" spans="1:4" x14ac:dyDescent="0.45">
      <c r="A220" s="118" t="s">
        <v>710</v>
      </c>
      <c r="B220" s="118">
        <v>55</v>
      </c>
      <c r="C220" s="118" t="s">
        <v>648</v>
      </c>
      <c r="D220" s="118" t="s">
        <v>595</v>
      </c>
    </row>
    <row r="221" spans="1:4" x14ac:dyDescent="0.45">
      <c r="A221" s="118" t="s">
        <v>710</v>
      </c>
      <c r="B221" s="118">
        <v>2165</v>
      </c>
      <c r="C221" s="118" t="s">
        <v>673</v>
      </c>
      <c r="D221" s="118" t="s">
        <v>580</v>
      </c>
    </row>
    <row r="222" spans="1:4" x14ac:dyDescent="0.45">
      <c r="A222" s="118" t="s">
        <v>710</v>
      </c>
      <c r="B222" s="118">
        <v>416</v>
      </c>
      <c r="C222" s="118" t="s">
        <v>711</v>
      </c>
      <c r="D222" s="118" t="s">
        <v>595</v>
      </c>
    </row>
    <row r="223" spans="1:4" x14ac:dyDescent="0.45">
      <c r="A223" s="118" t="s">
        <v>710</v>
      </c>
      <c r="B223" s="118">
        <v>80</v>
      </c>
      <c r="C223" s="118" t="s">
        <v>1031</v>
      </c>
      <c r="D223" s="118" t="s">
        <v>781</v>
      </c>
    </row>
    <row r="224" spans="1:4" x14ac:dyDescent="0.45">
      <c r="A224" s="118" t="s">
        <v>710</v>
      </c>
      <c r="B224" s="118">
        <v>175</v>
      </c>
      <c r="C224" s="118" t="s">
        <v>712</v>
      </c>
      <c r="D224" s="118" t="s">
        <v>595</v>
      </c>
    </row>
    <row r="225" spans="1:4" x14ac:dyDescent="0.45">
      <c r="A225" s="118" t="s">
        <v>710</v>
      </c>
      <c r="B225" s="118">
        <v>50</v>
      </c>
      <c r="C225" s="118" t="s">
        <v>713</v>
      </c>
      <c r="D225" s="118" t="s">
        <v>595</v>
      </c>
    </row>
    <row r="226" spans="1:4" x14ac:dyDescent="0.45">
      <c r="A226" s="118" t="s">
        <v>710</v>
      </c>
      <c r="B226" s="118">
        <v>40</v>
      </c>
      <c r="C226" s="118" t="s">
        <v>1032</v>
      </c>
      <c r="D226" s="118" t="s">
        <v>636</v>
      </c>
    </row>
    <row r="227" spans="1:4" x14ac:dyDescent="0.45">
      <c r="A227" s="118" t="s">
        <v>710</v>
      </c>
      <c r="B227" s="118">
        <v>50</v>
      </c>
      <c r="C227" s="118" t="s">
        <v>715</v>
      </c>
      <c r="D227" s="118" t="s">
        <v>595</v>
      </c>
    </row>
    <row r="228" spans="1:4" x14ac:dyDescent="0.45">
      <c r="A228" s="118" t="s">
        <v>710</v>
      </c>
      <c r="B228" s="118">
        <v>20</v>
      </c>
      <c r="C228" s="118" t="s">
        <v>983</v>
      </c>
      <c r="D228" s="118" t="s">
        <v>596</v>
      </c>
    </row>
    <row r="229" spans="1:4" x14ac:dyDescent="0.45">
      <c r="A229" s="118" t="s">
        <v>710</v>
      </c>
      <c r="B229" s="118">
        <v>125</v>
      </c>
      <c r="C229" s="118" t="s">
        <v>1102</v>
      </c>
      <c r="D229" s="118" t="s">
        <v>768</v>
      </c>
    </row>
    <row r="230" spans="1:4" x14ac:dyDescent="0.45">
      <c r="A230" s="118" t="s">
        <v>710</v>
      </c>
      <c r="B230" s="118">
        <v>150</v>
      </c>
      <c r="C230" s="118" t="s">
        <v>1103</v>
      </c>
      <c r="D230" s="118" t="s">
        <v>768</v>
      </c>
    </row>
    <row r="231" spans="1:4" x14ac:dyDescent="0.45">
      <c r="A231" s="118" t="s">
        <v>716</v>
      </c>
    </row>
    <row r="232" spans="1:4" x14ac:dyDescent="0.45">
      <c r="A232" s="118" t="s">
        <v>454</v>
      </c>
      <c r="B232" s="118">
        <v>7</v>
      </c>
      <c r="C232" s="118" t="s">
        <v>579</v>
      </c>
      <c r="D232" s="118" t="s">
        <v>580</v>
      </c>
    </row>
    <row r="233" spans="1:4" x14ac:dyDescent="0.45">
      <c r="A233" s="118" t="s">
        <v>454</v>
      </c>
      <c r="B233" s="118">
        <v>20</v>
      </c>
      <c r="C233" s="118" t="s">
        <v>985</v>
      </c>
      <c r="D233" s="118" t="s">
        <v>608</v>
      </c>
    </row>
    <row r="234" spans="1:4" x14ac:dyDescent="0.45">
      <c r="A234" s="118" t="s">
        <v>454</v>
      </c>
      <c r="B234" s="118">
        <v>50</v>
      </c>
      <c r="C234" s="118" t="s">
        <v>584</v>
      </c>
      <c r="D234" s="118" t="s">
        <v>587</v>
      </c>
    </row>
    <row r="235" spans="1:4" x14ac:dyDescent="0.45">
      <c r="A235" s="118" t="s">
        <v>454</v>
      </c>
      <c r="B235" s="118">
        <v>25</v>
      </c>
      <c r="C235" s="118" t="s">
        <v>1033</v>
      </c>
      <c r="D235" s="118" t="s">
        <v>979</v>
      </c>
    </row>
    <row r="236" spans="1:4" x14ac:dyDescent="0.45">
      <c r="A236" s="118" t="s">
        <v>717</v>
      </c>
      <c r="B236" s="118">
        <v>40</v>
      </c>
      <c r="C236" s="118" t="s">
        <v>985</v>
      </c>
      <c r="D236" s="118" t="s">
        <v>608</v>
      </c>
    </row>
    <row r="237" spans="1:4" x14ac:dyDescent="0.45">
      <c r="A237" s="118" t="s">
        <v>717</v>
      </c>
      <c r="B237" s="118">
        <v>75</v>
      </c>
      <c r="C237" s="118" t="s">
        <v>1034</v>
      </c>
      <c r="D237" s="118" t="s">
        <v>771</v>
      </c>
    </row>
    <row r="238" spans="1:4" x14ac:dyDescent="0.45">
      <c r="A238" s="118" t="s">
        <v>717</v>
      </c>
      <c r="B238" s="118">
        <v>100</v>
      </c>
      <c r="C238" s="118" t="s">
        <v>581</v>
      </c>
      <c r="D238" s="118" t="s">
        <v>580</v>
      </c>
    </row>
    <row r="239" spans="1:4" x14ac:dyDescent="0.45">
      <c r="A239" s="118" t="s">
        <v>717</v>
      </c>
      <c r="B239" s="118">
        <v>50</v>
      </c>
      <c r="C239" s="118" t="s">
        <v>1035</v>
      </c>
      <c r="D239" s="118" t="s">
        <v>771</v>
      </c>
    </row>
    <row r="240" spans="1:4" x14ac:dyDescent="0.45">
      <c r="A240" s="118" t="s">
        <v>717</v>
      </c>
      <c r="B240" s="118">
        <v>30</v>
      </c>
      <c r="C240" s="118" t="s">
        <v>593</v>
      </c>
      <c r="D240" s="118" t="s">
        <v>580</v>
      </c>
    </row>
    <row r="241" spans="1:4" x14ac:dyDescent="0.45">
      <c r="A241" s="118" t="s">
        <v>717</v>
      </c>
      <c r="B241" s="118">
        <v>50</v>
      </c>
      <c r="C241" s="118" t="s">
        <v>583</v>
      </c>
      <c r="D241" s="118" t="s">
        <v>580</v>
      </c>
    </row>
    <row r="242" spans="1:4" x14ac:dyDescent="0.45">
      <c r="A242" s="118" t="s">
        <v>717</v>
      </c>
      <c r="B242" s="118">
        <v>1500</v>
      </c>
      <c r="C242" s="118" t="s">
        <v>721</v>
      </c>
      <c r="D242" s="118" t="s">
        <v>629</v>
      </c>
    </row>
    <row r="243" spans="1:4" x14ac:dyDescent="0.45">
      <c r="A243" s="118" t="s">
        <v>718</v>
      </c>
      <c r="B243" s="118">
        <v>100</v>
      </c>
      <c r="C243" s="118" t="s">
        <v>584</v>
      </c>
      <c r="D243" s="118" t="s">
        <v>587</v>
      </c>
    </row>
    <row r="244" spans="1:4" x14ac:dyDescent="0.45">
      <c r="A244" s="118" t="s">
        <v>718</v>
      </c>
      <c r="B244" s="118">
        <v>90</v>
      </c>
      <c r="C244" s="118" t="s">
        <v>719</v>
      </c>
      <c r="D244" s="118" t="s">
        <v>595</v>
      </c>
    </row>
    <row r="245" spans="1:4" x14ac:dyDescent="0.45">
      <c r="A245" s="118" t="s">
        <v>718</v>
      </c>
      <c r="B245" s="118">
        <v>80</v>
      </c>
      <c r="C245" s="118" t="s">
        <v>579</v>
      </c>
      <c r="D245" s="118" t="s">
        <v>580</v>
      </c>
    </row>
    <row r="246" spans="1:4" x14ac:dyDescent="0.45">
      <c r="A246" s="118" t="s">
        <v>718</v>
      </c>
      <c r="B246" s="118">
        <v>20</v>
      </c>
      <c r="C246" s="118" t="s">
        <v>1036</v>
      </c>
      <c r="D246" s="118" t="s">
        <v>582</v>
      </c>
    </row>
    <row r="247" spans="1:4" x14ac:dyDescent="0.45">
      <c r="A247" s="118" t="s">
        <v>718</v>
      </c>
      <c r="B247" s="118">
        <v>20</v>
      </c>
      <c r="C247" s="118" t="s">
        <v>985</v>
      </c>
      <c r="D247" s="118" t="s">
        <v>608</v>
      </c>
    </row>
    <row r="248" spans="1:4" x14ac:dyDescent="0.45">
      <c r="A248" s="118" t="s">
        <v>718</v>
      </c>
      <c r="B248" s="118">
        <v>75</v>
      </c>
      <c r="C248" s="118" t="s">
        <v>720</v>
      </c>
      <c r="D248" s="118" t="s">
        <v>629</v>
      </c>
    </row>
    <row r="249" spans="1:4" x14ac:dyDescent="0.45">
      <c r="A249" s="118" t="s">
        <v>722</v>
      </c>
      <c r="B249" s="118">
        <v>25</v>
      </c>
      <c r="C249" s="118" t="s">
        <v>1037</v>
      </c>
      <c r="D249" s="118" t="s">
        <v>790</v>
      </c>
    </row>
    <row r="250" spans="1:4" x14ac:dyDescent="0.45">
      <c r="A250" s="118" t="s">
        <v>723</v>
      </c>
      <c r="B250" s="118">
        <v>75</v>
      </c>
      <c r="C250" s="118" t="s">
        <v>1035</v>
      </c>
      <c r="D250" s="118" t="s">
        <v>771</v>
      </c>
    </row>
    <row r="251" spans="1:4" x14ac:dyDescent="0.45">
      <c r="A251" s="118" t="s">
        <v>723</v>
      </c>
      <c r="B251" s="118">
        <v>75</v>
      </c>
      <c r="C251" s="118" t="s">
        <v>1038</v>
      </c>
      <c r="D251" s="118" t="s">
        <v>580</v>
      </c>
    </row>
    <row r="252" spans="1:4" x14ac:dyDescent="0.45">
      <c r="A252" s="118" t="s">
        <v>724</v>
      </c>
      <c r="B252" s="118">
        <v>50</v>
      </c>
      <c r="C252" s="118" t="s">
        <v>1039</v>
      </c>
      <c r="D252" s="118" t="s">
        <v>771</v>
      </c>
    </row>
    <row r="253" spans="1:4" x14ac:dyDescent="0.45">
      <c r="A253" s="118" t="s">
        <v>724</v>
      </c>
      <c r="B253" s="118">
        <v>20</v>
      </c>
      <c r="C253" s="118" t="s">
        <v>983</v>
      </c>
      <c r="D253" s="118" t="s">
        <v>791</v>
      </c>
    </row>
    <row r="254" spans="1:4" x14ac:dyDescent="0.45">
      <c r="A254" s="118" t="s">
        <v>724</v>
      </c>
      <c r="B254" s="118">
        <v>60</v>
      </c>
      <c r="C254" s="118" t="s">
        <v>648</v>
      </c>
      <c r="D254" s="118" t="s">
        <v>580</v>
      </c>
    </row>
    <row r="255" spans="1:4" x14ac:dyDescent="0.45">
      <c r="A255" s="118" t="s">
        <v>724</v>
      </c>
      <c r="B255" s="118">
        <v>200</v>
      </c>
      <c r="C255" s="118" t="s">
        <v>583</v>
      </c>
      <c r="D255" s="118" t="s">
        <v>580</v>
      </c>
    </row>
    <row r="256" spans="1:4" x14ac:dyDescent="0.45">
      <c r="A256" s="118" t="s">
        <v>724</v>
      </c>
      <c r="B256" s="118">
        <v>50</v>
      </c>
      <c r="C256" s="118" t="s">
        <v>1035</v>
      </c>
      <c r="D256" s="118" t="s">
        <v>771</v>
      </c>
    </row>
    <row r="257" spans="1:4" x14ac:dyDescent="0.45">
      <c r="A257" s="118" t="s">
        <v>724</v>
      </c>
      <c r="B257" s="118">
        <v>295</v>
      </c>
      <c r="C257" s="118" t="s">
        <v>726</v>
      </c>
      <c r="D257" s="118" t="s">
        <v>580</v>
      </c>
    </row>
    <row r="258" spans="1:4" x14ac:dyDescent="0.45">
      <c r="A258" s="118" t="s">
        <v>724</v>
      </c>
      <c r="B258" s="118">
        <v>200</v>
      </c>
      <c r="C258" s="118" t="s">
        <v>584</v>
      </c>
      <c r="D258" s="118" t="s">
        <v>580</v>
      </c>
    </row>
    <row r="259" spans="1:4" x14ac:dyDescent="0.45">
      <c r="A259" s="118" t="s">
        <v>724</v>
      </c>
      <c r="B259" s="118">
        <v>20</v>
      </c>
      <c r="C259" s="118" t="s">
        <v>985</v>
      </c>
      <c r="D259" s="118" t="s">
        <v>791</v>
      </c>
    </row>
    <row r="260" spans="1:4" x14ac:dyDescent="0.45">
      <c r="A260" s="118" t="s">
        <v>724</v>
      </c>
      <c r="B260" s="118">
        <v>500</v>
      </c>
      <c r="C260" s="118" t="s">
        <v>598</v>
      </c>
      <c r="D260" s="118" t="s">
        <v>599</v>
      </c>
    </row>
    <row r="261" spans="1:4" x14ac:dyDescent="0.45">
      <c r="A261" s="118" t="s">
        <v>727</v>
      </c>
      <c r="B261" s="118">
        <v>100</v>
      </c>
      <c r="C261" s="118" t="s">
        <v>1038</v>
      </c>
      <c r="D261" s="118" t="s">
        <v>580</v>
      </c>
    </row>
    <row r="262" spans="1:4" x14ac:dyDescent="0.45">
      <c r="A262" s="118" t="s">
        <v>727</v>
      </c>
      <c r="B262" s="118">
        <v>100</v>
      </c>
      <c r="C262" s="118" t="s">
        <v>1035</v>
      </c>
      <c r="D262" s="118" t="s">
        <v>771</v>
      </c>
    </row>
    <row r="263" spans="1:4" x14ac:dyDescent="0.45">
      <c r="A263" s="118" t="s">
        <v>727</v>
      </c>
      <c r="B263" s="118">
        <v>5</v>
      </c>
      <c r="C263" s="118" t="s">
        <v>728</v>
      </c>
      <c r="D263" s="118" t="s">
        <v>580</v>
      </c>
    </row>
    <row r="264" spans="1:4" x14ac:dyDescent="0.45">
      <c r="A264" s="118" t="s">
        <v>727</v>
      </c>
      <c r="B264" s="118">
        <v>50</v>
      </c>
      <c r="C264" s="118" t="s">
        <v>1039</v>
      </c>
      <c r="D264" s="118" t="s">
        <v>771</v>
      </c>
    </row>
    <row r="265" spans="1:4" x14ac:dyDescent="0.45">
      <c r="A265" s="118" t="s">
        <v>727</v>
      </c>
      <c r="B265" s="118">
        <v>50</v>
      </c>
      <c r="C265" s="118" t="s">
        <v>584</v>
      </c>
      <c r="D265" s="118" t="s">
        <v>580</v>
      </c>
    </row>
    <row r="266" spans="1:4" x14ac:dyDescent="0.45">
      <c r="A266" s="118" t="s">
        <v>727</v>
      </c>
      <c r="B266" s="118">
        <v>30</v>
      </c>
      <c r="C266" s="118" t="s">
        <v>593</v>
      </c>
      <c r="D266" s="118" t="s">
        <v>580</v>
      </c>
    </row>
    <row r="267" spans="1:4" x14ac:dyDescent="0.45">
      <c r="A267" s="118" t="s">
        <v>792</v>
      </c>
      <c r="B267" s="118">
        <v>150</v>
      </c>
      <c r="C267" s="118" t="s">
        <v>729</v>
      </c>
      <c r="D267" s="118" t="s">
        <v>580</v>
      </c>
    </row>
    <row r="268" spans="1:4" x14ac:dyDescent="0.45">
      <c r="A268" s="118" t="s">
        <v>792</v>
      </c>
      <c r="B268" s="118">
        <v>75</v>
      </c>
      <c r="C268" s="118" t="s">
        <v>1035</v>
      </c>
      <c r="D268" s="118" t="s">
        <v>771</v>
      </c>
    </row>
    <row r="269" spans="1:4" x14ac:dyDescent="0.45">
      <c r="A269" s="118" t="s">
        <v>792</v>
      </c>
      <c r="B269" s="118">
        <v>75</v>
      </c>
      <c r="C269" s="118" t="s">
        <v>1034</v>
      </c>
      <c r="D269" s="118" t="s">
        <v>771</v>
      </c>
    </row>
    <row r="270" spans="1:4" x14ac:dyDescent="0.45">
      <c r="A270" s="118" t="s">
        <v>792</v>
      </c>
      <c r="B270" s="118">
        <v>25</v>
      </c>
      <c r="C270" s="118" t="s">
        <v>584</v>
      </c>
      <c r="D270" s="118" t="s">
        <v>580</v>
      </c>
    </row>
    <row r="271" spans="1:4" x14ac:dyDescent="0.45">
      <c r="A271" s="118" t="s">
        <v>792</v>
      </c>
      <c r="B271" s="118">
        <v>25</v>
      </c>
      <c r="C271" s="118" t="s">
        <v>583</v>
      </c>
      <c r="D271" s="118" t="s">
        <v>580</v>
      </c>
    </row>
    <row r="272" spans="1:4" x14ac:dyDescent="0.45">
      <c r="A272" s="118" t="s">
        <v>792</v>
      </c>
      <c r="B272" s="118">
        <v>30</v>
      </c>
      <c r="C272" s="118" t="s">
        <v>725</v>
      </c>
      <c r="D272" s="118" t="s">
        <v>580</v>
      </c>
    </row>
    <row r="273" spans="1:4" x14ac:dyDescent="0.45">
      <c r="A273" s="118" t="s">
        <v>792</v>
      </c>
      <c r="B273" s="118">
        <v>50</v>
      </c>
      <c r="C273" s="118" t="s">
        <v>581</v>
      </c>
      <c r="D273" s="118" t="s">
        <v>580</v>
      </c>
    </row>
    <row r="274" spans="1:4" x14ac:dyDescent="0.45">
      <c r="A274" s="118" t="s">
        <v>792</v>
      </c>
      <c r="B274" s="118">
        <v>20</v>
      </c>
      <c r="C274" s="118" t="s">
        <v>1040</v>
      </c>
      <c r="D274" s="118" t="s">
        <v>794</v>
      </c>
    </row>
    <row r="275" spans="1:4" x14ac:dyDescent="0.45">
      <c r="A275" s="118" t="s">
        <v>792</v>
      </c>
      <c r="B275" s="118">
        <v>50</v>
      </c>
      <c r="C275" s="118" t="s">
        <v>1041</v>
      </c>
      <c r="D275" s="118" t="s">
        <v>795</v>
      </c>
    </row>
    <row r="276" spans="1:4" x14ac:dyDescent="0.45">
      <c r="A276" s="118" t="s">
        <v>792</v>
      </c>
      <c r="B276" s="118">
        <v>100</v>
      </c>
      <c r="C276" s="118" t="s">
        <v>764</v>
      </c>
      <c r="D276" s="118" t="s">
        <v>793</v>
      </c>
    </row>
    <row r="277" spans="1:4" x14ac:dyDescent="0.45">
      <c r="A277" s="118" t="s">
        <v>792</v>
      </c>
      <c r="B277" s="118">
        <v>50</v>
      </c>
      <c r="C277" s="118" t="s">
        <v>765</v>
      </c>
      <c r="D277" s="118" t="s">
        <v>793</v>
      </c>
    </row>
    <row r="278" spans="1:4" x14ac:dyDescent="0.45">
      <c r="A278" s="118" t="s">
        <v>792</v>
      </c>
      <c r="B278" s="118">
        <v>75</v>
      </c>
      <c r="C278" s="118" t="s">
        <v>766</v>
      </c>
      <c r="D278" s="118" t="s">
        <v>793</v>
      </c>
    </row>
    <row r="279" spans="1:4" x14ac:dyDescent="0.45">
      <c r="A279" s="118" t="s">
        <v>730</v>
      </c>
      <c r="B279" s="118">
        <v>400</v>
      </c>
      <c r="C279" s="118" t="s">
        <v>601</v>
      </c>
      <c r="D279" s="118" t="s">
        <v>580</v>
      </c>
    </row>
    <row r="280" spans="1:4" x14ac:dyDescent="0.45">
      <c r="A280" s="118" t="s">
        <v>730</v>
      </c>
      <c r="B280" s="118">
        <v>20</v>
      </c>
      <c r="C280" s="118" t="s">
        <v>985</v>
      </c>
      <c r="D280" s="118" t="s">
        <v>608</v>
      </c>
    </row>
    <row r="281" spans="1:4" x14ac:dyDescent="0.45">
      <c r="A281" s="118" t="s">
        <v>730</v>
      </c>
      <c r="B281" s="118">
        <v>180</v>
      </c>
      <c r="C281" s="118" t="s">
        <v>731</v>
      </c>
      <c r="D281" s="118" t="s">
        <v>580</v>
      </c>
    </row>
    <row r="282" spans="1:4" x14ac:dyDescent="0.45">
      <c r="A282" s="118" t="s">
        <v>730</v>
      </c>
      <c r="B282" s="118">
        <v>100</v>
      </c>
      <c r="C282" s="118" t="s">
        <v>583</v>
      </c>
      <c r="D282" s="118" t="s">
        <v>586</v>
      </c>
    </row>
    <row r="283" spans="1:4" x14ac:dyDescent="0.45">
      <c r="A283" s="118" t="s">
        <v>730</v>
      </c>
      <c r="B283" s="118">
        <v>100</v>
      </c>
      <c r="C283" s="118" t="s">
        <v>581</v>
      </c>
      <c r="D283" s="118" t="s">
        <v>585</v>
      </c>
    </row>
    <row r="284" spans="1:4" x14ac:dyDescent="0.45">
      <c r="A284" s="118" t="s">
        <v>730</v>
      </c>
      <c r="B284" s="118">
        <v>30</v>
      </c>
      <c r="C284" s="118" t="s">
        <v>725</v>
      </c>
      <c r="D284" s="118" t="s">
        <v>595</v>
      </c>
    </row>
    <row r="285" spans="1:4" x14ac:dyDescent="0.45">
      <c r="A285" s="118" t="s">
        <v>730</v>
      </c>
      <c r="B285" s="118">
        <v>50</v>
      </c>
      <c r="C285" s="118" t="s">
        <v>1035</v>
      </c>
      <c r="D285" s="118" t="s">
        <v>771</v>
      </c>
    </row>
    <row r="286" spans="1:4" x14ac:dyDescent="0.45">
      <c r="A286" s="118" t="s">
        <v>456</v>
      </c>
      <c r="B286" s="118">
        <v>715</v>
      </c>
      <c r="C286" s="118" t="s">
        <v>732</v>
      </c>
      <c r="D286" s="118" t="s">
        <v>580</v>
      </c>
    </row>
    <row r="287" spans="1:4" x14ac:dyDescent="0.45">
      <c r="A287" s="118" t="s">
        <v>456</v>
      </c>
      <c r="B287" s="118">
        <v>100</v>
      </c>
      <c r="C287" s="118" t="s">
        <v>733</v>
      </c>
      <c r="D287" s="118" t="s">
        <v>580</v>
      </c>
    </row>
    <row r="288" spans="1:4" x14ac:dyDescent="0.45">
      <c r="A288" s="118" t="s">
        <v>456</v>
      </c>
      <c r="B288" s="118">
        <v>500</v>
      </c>
      <c r="C288" s="118" t="s">
        <v>734</v>
      </c>
      <c r="D288" s="118" t="s">
        <v>599</v>
      </c>
    </row>
    <row r="289" spans="1:4" x14ac:dyDescent="0.45">
      <c r="A289" s="118" t="s">
        <v>735</v>
      </c>
    </row>
    <row r="290" spans="1:4" x14ac:dyDescent="0.45">
      <c r="A290" s="118" t="s">
        <v>446</v>
      </c>
      <c r="B290" s="118">
        <v>100</v>
      </c>
      <c r="C290" s="118" t="s">
        <v>581</v>
      </c>
      <c r="D290" s="118" t="s">
        <v>585</v>
      </c>
    </row>
    <row r="291" spans="1:4" x14ac:dyDescent="0.45">
      <c r="A291" s="118" t="s">
        <v>446</v>
      </c>
      <c r="B291" s="118">
        <v>75</v>
      </c>
      <c r="C291" s="118" t="s">
        <v>990</v>
      </c>
      <c r="D291" s="118" t="s">
        <v>609</v>
      </c>
    </row>
    <row r="292" spans="1:4" x14ac:dyDescent="0.45">
      <c r="A292" s="118" t="s">
        <v>446</v>
      </c>
      <c r="B292" s="118">
        <v>50</v>
      </c>
      <c r="C292" s="118" t="s">
        <v>1042</v>
      </c>
      <c r="D292" s="118" t="s">
        <v>609</v>
      </c>
    </row>
    <row r="293" spans="1:4" x14ac:dyDescent="0.45">
      <c r="A293" s="118" t="s">
        <v>446</v>
      </c>
      <c r="B293" s="118">
        <v>50</v>
      </c>
      <c r="C293" s="118" t="s">
        <v>584</v>
      </c>
      <c r="D293" s="118" t="s">
        <v>587</v>
      </c>
    </row>
    <row r="294" spans="1:4" x14ac:dyDescent="0.45">
      <c r="A294" s="118" t="s">
        <v>446</v>
      </c>
      <c r="B294" s="118">
        <v>90</v>
      </c>
      <c r="C294" s="118" t="s">
        <v>593</v>
      </c>
      <c r="D294" s="118" t="s">
        <v>595</v>
      </c>
    </row>
    <row r="295" spans="1:4" x14ac:dyDescent="0.45">
      <c r="A295" s="118" t="s">
        <v>737</v>
      </c>
      <c r="B295" s="118">
        <v>15</v>
      </c>
      <c r="C295" s="118" t="s">
        <v>738</v>
      </c>
      <c r="D295" s="118" t="s">
        <v>580</v>
      </c>
    </row>
    <row r="296" spans="1:4" x14ac:dyDescent="0.45">
      <c r="A296" s="118" t="s">
        <v>737</v>
      </c>
      <c r="B296" s="118">
        <v>125</v>
      </c>
      <c r="C296" s="118" t="s">
        <v>1104</v>
      </c>
      <c r="D296" s="118" t="s">
        <v>582</v>
      </c>
    </row>
    <row r="297" spans="1:4" x14ac:dyDescent="0.45">
      <c r="A297" s="118" t="s">
        <v>737</v>
      </c>
      <c r="B297" s="118">
        <v>100</v>
      </c>
      <c r="C297" s="118" t="s">
        <v>1102</v>
      </c>
      <c r="D297" s="118" t="s">
        <v>582</v>
      </c>
    </row>
    <row r="298" spans="1:4" x14ac:dyDescent="0.45">
      <c r="A298" s="118" t="s">
        <v>737</v>
      </c>
      <c r="B298" s="118">
        <v>25</v>
      </c>
      <c r="C298" s="118" t="s">
        <v>1043</v>
      </c>
      <c r="D298" s="118" t="s">
        <v>609</v>
      </c>
    </row>
    <row r="299" spans="1:4" x14ac:dyDescent="0.45">
      <c r="A299" s="118" t="s">
        <v>737</v>
      </c>
      <c r="B299" s="118">
        <v>49</v>
      </c>
      <c r="C299" s="118" t="s">
        <v>579</v>
      </c>
      <c r="D299" s="118" t="s">
        <v>580</v>
      </c>
    </row>
    <row r="300" spans="1:4" x14ac:dyDescent="0.45">
      <c r="A300" s="118" t="s">
        <v>737</v>
      </c>
      <c r="B300" s="118">
        <v>300</v>
      </c>
      <c r="C300" s="118" t="s">
        <v>581</v>
      </c>
      <c r="D300" s="118" t="s">
        <v>585</v>
      </c>
    </row>
    <row r="301" spans="1:4" x14ac:dyDescent="0.45">
      <c r="A301" s="118" t="s">
        <v>737</v>
      </c>
      <c r="B301" s="118">
        <v>347</v>
      </c>
      <c r="C301" s="118" t="s">
        <v>739</v>
      </c>
      <c r="D301" s="118" t="s">
        <v>627</v>
      </c>
    </row>
    <row r="302" spans="1:4" x14ac:dyDescent="0.45">
      <c r="A302" s="118" t="s">
        <v>737</v>
      </c>
      <c r="B302" s="118">
        <v>125</v>
      </c>
      <c r="C302" s="118" t="s">
        <v>583</v>
      </c>
      <c r="D302" s="118" t="s">
        <v>586</v>
      </c>
    </row>
    <row r="303" spans="1:4" x14ac:dyDescent="0.45">
      <c r="A303" s="118" t="s">
        <v>737</v>
      </c>
      <c r="B303" s="118">
        <v>1500</v>
      </c>
      <c r="C303" s="118" t="s">
        <v>740</v>
      </c>
      <c r="D303" s="118" t="s">
        <v>782</v>
      </c>
    </row>
    <row r="304" spans="1:4" x14ac:dyDescent="0.45">
      <c r="A304" s="118" t="s">
        <v>737</v>
      </c>
      <c r="B304" s="118">
        <v>25</v>
      </c>
      <c r="C304" s="118" t="s">
        <v>741</v>
      </c>
      <c r="D304" s="118" t="s">
        <v>627</v>
      </c>
    </row>
    <row r="305" spans="1:4" x14ac:dyDescent="0.45">
      <c r="A305" s="118" t="s">
        <v>737</v>
      </c>
      <c r="B305" s="118">
        <v>25</v>
      </c>
      <c r="C305" s="118" t="s">
        <v>742</v>
      </c>
      <c r="D305" s="118" t="s">
        <v>627</v>
      </c>
    </row>
    <row r="306" spans="1:4" x14ac:dyDescent="0.45">
      <c r="A306" s="118" t="s">
        <v>737</v>
      </c>
      <c r="B306" s="118">
        <v>75</v>
      </c>
      <c r="C306" s="118" t="s">
        <v>676</v>
      </c>
      <c r="D306" s="118" t="s">
        <v>587</v>
      </c>
    </row>
    <row r="307" spans="1:4" x14ac:dyDescent="0.45">
      <c r="A307" s="118" t="s">
        <v>737</v>
      </c>
      <c r="B307" s="118">
        <v>30</v>
      </c>
      <c r="C307" s="118" t="s">
        <v>593</v>
      </c>
      <c r="D307" s="118" t="s">
        <v>595</v>
      </c>
    </row>
    <row r="308" spans="1:4" x14ac:dyDescent="0.45">
      <c r="A308" s="118" t="s">
        <v>743</v>
      </c>
      <c r="B308" s="118">
        <v>76</v>
      </c>
      <c r="C308" s="118" t="s">
        <v>738</v>
      </c>
      <c r="D308" s="118" t="s">
        <v>580</v>
      </c>
    </row>
    <row r="309" spans="1:4" x14ac:dyDescent="0.45">
      <c r="A309" s="118" t="s">
        <v>743</v>
      </c>
      <c r="B309" s="118">
        <v>50</v>
      </c>
      <c r="C309" s="118" t="s">
        <v>1124</v>
      </c>
      <c r="D309" s="118" t="s">
        <v>582</v>
      </c>
    </row>
    <row r="310" spans="1:4" x14ac:dyDescent="0.45">
      <c r="A310" s="118" t="s">
        <v>743</v>
      </c>
      <c r="B310" s="118">
        <v>200</v>
      </c>
      <c r="C310" s="118" t="s">
        <v>1102</v>
      </c>
      <c r="D310" s="118" t="s">
        <v>582</v>
      </c>
    </row>
    <row r="311" spans="1:4" x14ac:dyDescent="0.45">
      <c r="A311" s="118" t="s">
        <v>744</v>
      </c>
      <c r="B311" s="118">
        <v>50</v>
      </c>
      <c r="C311" s="118" t="s">
        <v>1019</v>
      </c>
      <c r="D311" s="118" t="s">
        <v>775</v>
      </c>
    </row>
    <row r="312" spans="1:4" x14ac:dyDescent="0.45">
      <c r="A312" s="118" t="s">
        <v>744</v>
      </c>
      <c r="B312" s="118">
        <v>25</v>
      </c>
      <c r="C312" s="118" t="s">
        <v>1043</v>
      </c>
      <c r="D312" s="118" t="s">
        <v>609</v>
      </c>
    </row>
    <row r="313" spans="1:4" x14ac:dyDescent="0.45">
      <c r="A313" s="118" t="s">
        <v>744</v>
      </c>
      <c r="B313" s="118">
        <v>125</v>
      </c>
      <c r="C313" s="118" t="s">
        <v>581</v>
      </c>
      <c r="D313" s="118" t="s">
        <v>585</v>
      </c>
    </row>
    <row r="314" spans="1:4" x14ac:dyDescent="0.45">
      <c r="A314" s="118" t="s">
        <v>744</v>
      </c>
      <c r="B314" s="118">
        <v>175</v>
      </c>
      <c r="C314" s="118" t="s">
        <v>584</v>
      </c>
      <c r="D314" s="118" t="s">
        <v>587</v>
      </c>
    </row>
    <row r="315" spans="1:4" x14ac:dyDescent="0.45">
      <c r="A315" s="118" t="s">
        <v>744</v>
      </c>
      <c r="B315" s="118">
        <v>42</v>
      </c>
      <c r="C315" s="118" t="s">
        <v>579</v>
      </c>
      <c r="D315" s="118" t="s">
        <v>580</v>
      </c>
    </row>
    <row r="316" spans="1:4" x14ac:dyDescent="0.45">
      <c r="A316" s="118" t="s">
        <v>744</v>
      </c>
      <c r="B316" s="118">
        <v>25</v>
      </c>
      <c r="C316" s="118" t="s">
        <v>745</v>
      </c>
      <c r="D316" s="118" t="s">
        <v>783</v>
      </c>
    </row>
    <row r="317" spans="1:4" x14ac:dyDescent="0.45">
      <c r="A317" s="118" t="s">
        <v>744</v>
      </c>
      <c r="B317" s="118">
        <v>25</v>
      </c>
      <c r="C317" s="118" t="s">
        <v>746</v>
      </c>
      <c r="D317" s="118" t="s">
        <v>783</v>
      </c>
    </row>
    <row r="318" spans="1:4" x14ac:dyDescent="0.45">
      <c r="A318" s="118" t="s">
        <v>747</v>
      </c>
      <c r="B318" s="118">
        <v>55</v>
      </c>
      <c r="C318" s="118" t="s">
        <v>579</v>
      </c>
      <c r="D318" s="118" t="s">
        <v>580</v>
      </c>
    </row>
    <row r="319" spans="1:4" x14ac:dyDescent="0.45">
      <c r="A319" s="118" t="s">
        <v>747</v>
      </c>
      <c r="B319" s="118">
        <v>50</v>
      </c>
      <c r="C319" s="118" t="s">
        <v>584</v>
      </c>
      <c r="D319" s="118" t="s">
        <v>587</v>
      </c>
    </row>
    <row r="320" spans="1:4" x14ac:dyDescent="0.45">
      <c r="A320" s="118" t="s">
        <v>747</v>
      </c>
      <c r="B320" s="118">
        <v>100</v>
      </c>
      <c r="C320" s="118" t="s">
        <v>583</v>
      </c>
      <c r="D320" s="118" t="s">
        <v>586</v>
      </c>
    </row>
    <row r="321" spans="1:4" x14ac:dyDescent="0.45">
      <c r="A321" s="118" t="s">
        <v>747</v>
      </c>
      <c r="B321" s="118">
        <v>30</v>
      </c>
      <c r="C321" s="118" t="s">
        <v>593</v>
      </c>
      <c r="D321" s="118" t="s">
        <v>595</v>
      </c>
    </row>
    <row r="322" spans="1:4" x14ac:dyDescent="0.45">
      <c r="A322" s="118" t="s">
        <v>747</v>
      </c>
      <c r="B322" s="118">
        <v>150</v>
      </c>
      <c r="C322" s="118" t="s">
        <v>581</v>
      </c>
      <c r="D322" s="118" t="s">
        <v>585</v>
      </c>
    </row>
    <row r="323" spans="1:4" x14ac:dyDescent="0.45">
      <c r="A323" s="118" t="s">
        <v>747</v>
      </c>
      <c r="B323" s="118">
        <v>2148</v>
      </c>
      <c r="C323" s="118" t="s">
        <v>672</v>
      </c>
      <c r="D323" s="118" t="s">
        <v>580</v>
      </c>
    </row>
    <row r="324" spans="1:4" x14ac:dyDescent="0.45">
      <c r="A324" s="118" t="s">
        <v>748</v>
      </c>
      <c r="B324" s="118">
        <v>50</v>
      </c>
      <c r="C324" s="118" t="s">
        <v>1043</v>
      </c>
      <c r="D324" s="118" t="s">
        <v>781</v>
      </c>
    </row>
    <row r="325" spans="1:4" x14ac:dyDescent="0.45">
      <c r="A325" s="118" t="s">
        <v>748</v>
      </c>
      <c r="B325" s="118">
        <v>1500</v>
      </c>
      <c r="C325" s="118" t="s">
        <v>749</v>
      </c>
      <c r="D325" s="118" t="s">
        <v>599</v>
      </c>
    </row>
    <row r="326" spans="1:4" x14ac:dyDescent="0.45">
      <c r="A326" s="118" t="s">
        <v>750</v>
      </c>
      <c r="B326" s="118">
        <v>300</v>
      </c>
      <c r="C326" s="118" t="s">
        <v>581</v>
      </c>
      <c r="D326" s="118" t="s">
        <v>585</v>
      </c>
    </row>
    <row r="327" spans="1:4" x14ac:dyDescent="0.45">
      <c r="A327" s="118" t="s">
        <v>750</v>
      </c>
      <c r="B327" s="118">
        <v>275</v>
      </c>
      <c r="C327" s="118" t="s">
        <v>584</v>
      </c>
      <c r="D327" s="118" t="s">
        <v>587</v>
      </c>
    </row>
    <row r="328" spans="1:4" x14ac:dyDescent="0.45">
      <c r="A328" s="118" t="s">
        <v>750</v>
      </c>
      <c r="B328" s="118">
        <v>120</v>
      </c>
      <c r="C328" s="118" t="s">
        <v>648</v>
      </c>
      <c r="D328" s="118" t="s">
        <v>595</v>
      </c>
    </row>
    <row r="329" spans="1:4" x14ac:dyDescent="0.45">
      <c r="A329" s="118" t="s">
        <v>750</v>
      </c>
      <c r="B329" s="118">
        <v>75</v>
      </c>
      <c r="C329" s="118" t="s">
        <v>990</v>
      </c>
      <c r="D329" s="118" t="s">
        <v>609</v>
      </c>
    </row>
    <row r="330" spans="1:4" x14ac:dyDescent="0.45">
      <c r="A330" s="118" t="s">
        <v>750</v>
      </c>
      <c r="B330" s="118">
        <f>45+276</f>
        <v>321</v>
      </c>
      <c r="C330" s="118" t="s">
        <v>579</v>
      </c>
      <c r="D330" s="118" t="s">
        <v>580</v>
      </c>
    </row>
    <row r="331" spans="1:4" x14ac:dyDescent="0.45">
      <c r="A331" s="118" t="s">
        <v>750</v>
      </c>
      <c r="B331" s="118">
        <v>175</v>
      </c>
      <c r="C331" s="118" t="s">
        <v>583</v>
      </c>
      <c r="D331" s="118" t="s">
        <v>586</v>
      </c>
    </row>
    <row r="332" spans="1:4" x14ac:dyDescent="0.45">
      <c r="A332" s="118" t="s">
        <v>751</v>
      </c>
      <c r="B332" s="118">
        <v>300</v>
      </c>
      <c r="C332" s="118" t="s">
        <v>581</v>
      </c>
      <c r="D332" s="118" t="s">
        <v>585</v>
      </c>
    </row>
    <row r="333" spans="1:4" x14ac:dyDescent="0.45">
      <c r="A333" s="118" t="s">
        <v>751</v>
      </c>
      <c r="B333" s="118">
        <v>96</v>
      </c>
      <c r="C333" s="118" t="s">
        <v>579</v>
      </c>
      <c r="D333" s="118" t="s">
        <v>580</v>
      </c>
    </row>
    <row r="334" spans="1:4" x14ac:dyDescent="0.45">
      <c r="A334" s="118" t="s">
        <v>751</v>
      </c>
      <c r="B334" s="118">
        <v>150</v>
      </c>
      <c r="C334" s="118" t="s">
        <v>752</v>
      </c>
      <c r="D334" s="118" t="s">
        <v>780</v>
      </c>
    </row>
    <row r="335" spans="1:4" x14ac:dyDescent="0.45">
      <c r="A335" s="118" t="s">
        <v>751</v>
      </c>
      <c r="B335" s="118">
        <v>100</v>
      </c>
      <c r="C335" s="118" t="s">
        <v>584</v>
      </c>
      <c r="D335" s="118" t="s">
        <v>580</v>
      </c>
    </row>
    <row r="336" spans="1:4" x14ac:dyDescent="0.45">
      <c r="A336" s="118" t="s">
        <v>751</v>
      </c>
      <c r="B336" s="118">
        <v>60</v>
      </c>
      <c r="C336" s="118" t="s">
        <v>593</v>
      </c>
      <c r="D336" s="118" t="s">
        <v>595</v>
      </c>
    </row>
    <row r="337" spans="1:4" x14ac:dyDescent="0.45">
      <c r="A337" s="118" t="s">
        <v>751</v>
      </c>
      <c r="B337" s="118">
        <v>50</v>
      </c>
      <c r="C337" s="118" t="s">
        <v>583</v>
      </c>
      <c r="D337" s="118" t="s">
        <v>580</v>
      </c>
    </row>
    <row r="338" spans="1:4" x14ac:dyDescent="0.45">
      <c r="A338" s="118" t="s">
        <v>753</v>
      </c>
      <c r="B338" s="118">
        <v>55</v>
      </c>
      <c r="C338" s="118" t="s">
        <v>579</v>
      </c>
      <c r="D338" s="118" t="s">
        <v>580</v>
      </c>
    </row>
    <row r="339" spans="1:4" x14ac:dyDescent="0.45">
      <c r="A339" s="118" t="s">
        <v>753</v>
      </c>
      <c r="B339" s="118">
        <v>50</v>
      </c>
      <c r="C339" s="118" t="s">
        <v>583</v>
      </c>
      <c r="D339" s="118" t="s">
        <v>580</v>
      </c>
    </row>
    <row r="340" spans="1:4" x14ac:dyDescent="0.45">
      <c r="A340" s="118" t="s">
        <v>753</v>
      </c>
      <c r="B340" s="118">
        <v>50</v>
      </c>
      <c r="C340" s="118" t="s">
        <v>736</v>
      </c>
      <c r="D340" s="118" t="s">
        <v>580</v>
      </c>
    </row>
    <row r="341" spans="1:4" x14ac:dyDescent="0.45">
      <c r="A341" s="118" t="s">
        <v>753</v>
      </c>
      <c r="B341" s="118">
        <v>50</v>
      </c>
      <c r="C341" s="118" t="s">
        <v>584</v>
      </c>
      <c r="D341" s="118" t="s">
        <v>580</v>
      </c>
    </row>
    <row r="342" spans="1:4" x14ac:dyDescent="0.45">
      <c r="A342" s="118" t="s">
        <v>753</v>
      </c>
      <c r="B342" s="118">
        <v>30</v>
      </c>
      <c r="C342" s="118" t="s">
        <v>593</v>
      </c>
      <c r="D342" s="118" t="s">
        <v>595</v>
      </c>
    </row>
    <row r="343" spans="1:4" x14ac:dyDescent="0.45">
      <c r="A343" s="118" t="s">
        <v>762</v>
      </c>
      <c r="B343" s="118">
        <v>250</v>
      </c>
      <c r="C343" s="118" t="s">
        <v>581</v>
      </c>
      <c r="D343" s="118" t="s">
        <v>580</v>
      </c>
    </row>
    <row r="344" spans="1:4" x14ac:dyDescent="0.45">
      <c r="A344" s="118" t="s">
        <v>762</v>
      </c>
      <c r="B344" s="118">
        <v>100</v>
      </c>
      <c r="C344" s="118" t="s">
        <v>583</v>
      </c>
      <c r="D344" s="118" t="s">
        <v>580</v>
      </c>
    </row>
    <row r="345" spans="1:4" x14ac:dyDescent="0.45">
      <c r="A345" s="118" t="s">
        <v>762</v>
      </c>
      <c r="B345" s="118">
        <v>108</v>
      </c>
      <c r="C345" s="118" t="s">
        <v>579</v>
      </c>
      <c r="D345" s="118" t="s">
        <v>580</v>
      </c>
    </row>
    <row r="346" spans="1:4" x14ac:dyDescent="0.45">
      <c r="A346" s="118" t="s">
        <v>762</v>
      </c>
      <c r="B346" s="118">
        <v>1500</v>
      </c>
      <c r="C346" s="118" t="s">
        <v>763</v>
      </c>
      <c r="D346" s="118" t="s">
        <v>599</v>
      </c>
    </row>
    <row r="347" spans="1:4" x14ac:dyDescent="0.45">
      <c r="A347" s="118" t="s">
        <v>762</v>
      </c>
      <c r="B347" s="118">
        <v>25</v>
      </c>
      <c r="C347" s="118" t="s">
        <v>676</v>
      </c>
      <c r="D347" s="118" t="s">
        <v>580</v>
      </c>
    </row>
    <row r="348" spans="1:4" x14ac:dyDescent="0.45">
      <c r="A348" s="118" t="s">
        <v>762</v>
      </c>
      <c r="B348" s="118">
        <v>30</v>
      </c>
      <c r="C348" s="118" t="s">
        <v>593</v>
      </c>
      <c r="D348" s="118" t="s">
        <v>580</v>
      </c>
    </row>
    <row r="349" spans="1:4" x14ac:dyDescent="0.45">
      <c r="A349" s="118" t="s">
        <v>754</v>
      </c>
      <c r="B349" s="118">
        <v>46</v>
      </c>
      <c r="C349" s="118" t="s">
        <v>755</v>
      </c>
      <c r="D349" s="118" t="s">
        <v>580</v>
      </c>
    </row>
    <row r="350" spans="1:4" x14ac:dyDescent="0.45">
      <c r="A350" s="118" t="s">
        <v>754</v>
      </c>
      <c r="B350" s="118">
        <v>25</v>
      </c>
      <c r="C350" s="118" t="s">
        <v>1044</v>
      </c>
      <c r="D350" s="118" t="s">
        <v>609</v>
      </c>
    </row>
    <row r="351" spans="1:4" x14ac:dyDescent="0.45">
      <c r="A351" s="118" t="s">
        <v>754</v>
      </c>
      <c r="B351" s="118">
        <v>50</v>
      </c>
      <c r="C351" s="118" t="s">
        <v>756</v>
      </c>
      <c r="D351" s="118" t="s">
        <v>585</v>
      </c>
    </row>
    <row r="352" spans="1:4" x14ac:dyDescent="0.45">
      <c r="A352" s="118" t="s">
        <v>754</v>
      </c>
      <c r="B352" s="118">
        <v>30</v>
      </c>
      <c r="C352" s="118" t="s">
        <v>757</v>
      </c>
      <c r="D352" s="118" t="s">
        <v>595</v>
      </c>
    </row>
    <row r="353" spans="1:4" x14ac:dyDescent="0.45">
      <c r="A353" s="118" t="s">
        <v>754</v>
      </c>
      <c r="B353" s="118">
        <v>1500</v>
      </c>
      <c r="C353" s="118" t="s">
        <v>758</v>
      </c>
      <c r="D353" s="118" t="s">
        <v>779</v>
      </c>
    </row>
    <row r="354" spans="1:4" x14ac:dyDescent="0.45">
      <c r="A354" s="118" t="s">
        <v>754</v>
      </c>
      <c r="B354" s="118">
        <v>50</v>
      </c>
      <c r="C354" s="118" t="s">
        <v>584</v>
      </c>
      <c r="D354" s="118" t="s">
        <v>778</v>
      </c>
    </row>
    <row r="355" spans="1:4" x14ac:dyDescent="0.45">
      <c r="A355" s="118" t="s">
        <v>754</v>
      </c>
      <c r="B355" s="118">
        <v>50</v>
      </c>
      <c r="C355" s="118" t="s">
        <v>759</v>
      </c>
      <c r="D355" s="118" t="s">
        <v>776</v>
      </c>
    </row>
    <row r="356" spans="1:4" x14ac:dyDescent="0.45">
      <c r="A356" s="118" t="s">
        <v>754</v>
      </c>
      <c r="B356" s="118">
        <v>50</v>
      </c>
      <c r="C356" s="118" t="s">
        <v>760</v>
      </c>
      <c r="D356" s="118" t="s">
        <v>777</v>
      </c>
    </row>
    <row r="357" spans="1:4" x14ac:dyDescent="0.45">
      <c r="A357" s="118" t="s">
        <v>761</v>
      </c>
      <c r="B357" s="118">
        <v>100</v>
      </c>
      <c r="C357" s="118" t="s">
        <v>1043</v>
      </c>
      <c r="D357" s="118" t="s">
        <v>580</v>
      </c>
    </row>
    <row r="358" spans="1:4" x14ac:dyDescent="0.45">
      <c r="A358" s="118" t="s">
        <v>761</v>
      </c>
      <c r="B358" s="118">
        <v>125</v>
      </c>
      <c r="C358" s="118" t="s">
        <v>1018</v>
      </c>
      <c r="D358" s="118" t="s">
        <v>580</v>
      </c>
    </row>
    <row r="359" spans="1:4" x14ac:dyDescent="0.45">
      <c r="A359" s="118" t="s">
        <v>761</v>
      </c>
      <c r="B359" s="118">
        <v>25</v>
      </c>
      <c r="C359" s="118" t="s">
        <v>1045</v>
      </c>
      <c r="D359" s="118" t="s">
        <v>580</v>
      </c>
    </row>
    <row r="360" spans="1:4" x14ac:dyDescent="0.45">
      <c r="A360" s="118" t="s">
        <v>761</v>
      </c>
      <c r="B360" s="118">
        <v>75</v>
      </c>
      <c r="C360" s="118" t="s">
        <v>583</v>
      </c>
      <c r="D360" s="118" t="s">
        <v>580</v>
      </c>
    </row>
    <row r="361" spans="1:4" x14ac:dyDescent="0.45">
      <c r="A361" s="118" t="s">
        <v>761</v>
      </c>
      <c r="B361" s="118">
        <v>150</v>
      </c>
      <c r="C361" s="118" t="s">
        <v>581</v>
      </c>
      <c r="D361" s="118" t="s">
        <v>580</v>
      </c>
    </row>
    <row r="362" spans="1:4" x14ac:dyDescent="0.45">
      <c r="A362" s="118" t="s">
        <v>761</v>
      </c>
      <c r="B362" s="118">
        <v>42</v>
      </c>
      <c r="C362" s="118" t="s">
        <v>579</v>
      </c>
      <c r="D362" s="118" t="s">
        <v>580</v>
      </c>
    </row>
    <row r="363" spans="1:4" x14ac:dyDescent="0.45">
      <c r="A363" s="118" t="s">
        <v>761</v>
      </c>
      <c r="B363" s="118">
        <v>75</v>
      </c>
      <c r="C363" s="118" t="s">
        <v>584</v>
      </c>
      <c r="D363" s="118" t="s">
        <v>580</v>
      </c>
    </row>
    <row r="364" spans="1:4" x14ac:dyDescent="0.45">
      <c r="A364" s="118" t="s">
        <v>797</v>
      </c>
    </row>
    <row r="365" spans="1:4" x14ac:dyDescent="0.45">
      <c r="A365" s="118" t="s">
        <v>799</v>
      </c>
      <c r="B365" s="118">
        <v>25</v>
      </c>
      <c r="C365" s="118" t="s">
        <v>676</v>
      </c>
      <c r="D365" s="118" t="s">
        <v>587</v>
      </c>
    </row>
    <row r="366" spans="1:4" x14ac:dyDescent="0.45">
      <c r="A366" s="118" t="s">
        <v>799</v>
      </c>
      <c r="B366" s="118">
        <v>80</v>
      </c>
      <c r="C366" s="118" t="s">
        <v>798</v>
      </c>
      <c r="D366" s="118" t="s">
        <v>595</v>
      </c>
    </row>
    <row r="367" spans="1:4" x14ac:dyDescent="0.45">
      <c r="A367" s="118" t="s">
        <v>800</v>
      </c>
      <c r="B367" s="118">
        <v>50</v>
      </c>
      <c r="C367" s="118" t="s">
        <v>583</v>
      </c>
      <c r="D367" s="118" t="s">
        <v>580</v>
      </c>
    </row>
    <row r="368" spans="1:4" x14ac:dyDescent="0.45">
      <c r="A368" s="118" t="s">
        <v>800</v>
      </c>
      <c r="B368" s="118">
        <v>20</v>
      </c>
      <c r="C368" s="118" t="s">
        <v>986</v>
      </c>
      <c r="D368" s="118" t="s">
        <v>580</v>
      </c>
    </row>
    <row r="369" spans="1:4" x14ac:dyDescent="0.45">
      <c r="A369" s="118" t="s">
        <v>800</v>
      </c>
      <c r="B369" s="118">
        <v>50</v>
      </c>
      <c r="C369" s="118" t="s">
        <v>584</v>
      </c>
      <c r="D369" s="118" t="s">
        <v>580</v>
      </c>
    </row>
    <row r="370" spans="1:4" x14ac:dyDescent="0.45">
      <c r="A370" s="118" t="s">
        <v>800</v>
      </c>
      <c r="B370" s="118">
        <v>170</v>
      </c>
      <c r="C370" s="118" t="s">
        <v>1046</v>
      </c>
      <c r="D370" s="118" t="s">
        <v>595</v>
      </c>
    </row>
    <row r="371" spans="1:4" x14ac:dyDescent="0.45">
      <c r="A371" s="118" t="s">
        <v>800</v>
      </c>
      <c r="B371" s="118">
        <v>125</v>
      </c>
      <c r="C371" s="118" t="s">
        <v>801</v>
      </c>
      <c r="D371" s="118" t="s">
        <v>595</v>
      </c>
    </row>
    <row r="372" spans="1:4" x14ac:dyDescent="0.45">
      <c r="A372" s="118" t="s">
        <v>800</v>
      </c>
      <c r="B372" s="118">
        <v>25</v>
      </c>
      <c r="C372" s="118" t="s">
        <v>1047</v>
      </c>
      <c r="D372" s="118" t="s">
        <v>854</v>
      </c>
    </row>
    <row r="373" spans="1:4" x14ac:dyDescent="0.45">
      <c r="A373" s="118" t="s">
        <v>800</v>
      </c>
      <c r="B373" s="118">
        <v>50</v>
      </c>
      <c r="C373" s="118" t="s">
        <v>802</v>
      </c>
      <c r="D373" s="118" t="s">
        <v>855</v>
      </c>
    </row>
    <row r="374" spans="1:4" x14ac:dyDescent="0.45">
      <c r="A374" s="118" t="s">
        <v>800</v>
      </c>
      <c r="B374" s="118">
        <v>80</v>
      </c>
      <c r="C374" s="118" t="s">
        <v>803</v>
      </c>
      <c r="D374" s="118" t="s">
        <v>855</v>
      </c>
    </row>
    <row r="375" spans="1:4" x14ac:dyDescent="0.45">
      <c r="A375" s="118" t="s">
        <v>804</v>
      </c>
      <c r="B375" s="118">
        <v>175</v>
      </c>
      <c r="C375" s="118" t="s">
        <v>583</v>
      </c>
      <c r="D375" s="118" t="s">
        <v>580</v>
      </c>
    </row>
    <row r="376" spans="1:4" x14ac:dyDescent="0.45">
      <c r="A376" s="118" t="s">
        <v>804</v>
      </c>
      <c r="B376" s="118">
        <v>20</v>
      </c>
      <c r="C376" s="118" t="s">
        <v>983</v>
      </c>
      <c r="D376" s="118" t="s">
        <v>596</v>
      </c>
    </row>
    <row r="377" spans="1:4" x14ac:dyDescent="0.45">
      <c r="A377" s="118" t="s">
        <v>804</v>
      </c>
      <c r="B377" s="118">
        <v>275</v>
      </c>
      <c r="C377" s="118" t="s">
        <v>584</v>
      </c>
      <c r="D377" s="118" t="s">
        <v>580</v>
      </c>
    </row>
    <row r="378" spans="1:4" x14ac:dyDescent="0.45">
      <c r="A378" s="118" t="s">
        <v>804</v>
      </c>
      <c r="B378" s="118">
        <v>125</v>
      </c>
      <c r="C378" s="118" t="s">
        <v>1048</v>
      </c>
      <c r="D378" s="118" t="s">
        <v>609</v>
      </c>
    </row>
    <row r="379" spans="1:4" x14ac:dyDescent="0.45">
      <c r="A379" s="118" t="s">
        <v>804</v>
      </c>
      <c r="B379" s="118">
        <v>20</v>
      </c>
      <c r="C379" s="118" t="s">
        <v>986</v>
      </c>
      <c r="D379" s="118" t="s">
        <v>609</v>
      </c>
    </row>
    <row r="380" spans="1:4" x14ac:dyDescent="0.45">
      <c r="A380" s="118" t="s">
        <v>804</v>
      </c>
      <c r="B380" s="118">
        <v>100</v>
      </c>
      <c r="C380" s="118" t="s">
        <v>581</v>
      </c>
      <c r="D380" s="118" t="s">
        <v>580</v>
      </c>
    </row>
    <row r="381" spans="1:4" x14ac:dyDescent="0.45">
      <c r="A381" s="118" t="s">
        <v>804</v>
      </c>
      <c r="B381" s="118">
        <v>40</v>
      </c>
      <c r="C381" s="118" t="s">
        <v>1036</v>
      </c>
      <c r="D381" s="118" t="s">
        <v>582</v>
      </c>
    </row>
    <row r="382" spans="1:4" x14ac:dyDescent="0.45">
      <c r="A382" s="118" t="s">
        <v>804</v>
      </c>
      <c r="B382" s="118">
        <v>211</v>
      </c>
      <c r="C382" s="118" t="s">
        <v>806</v>
      </c>
      <c r="D382" s="118" t="s">
        <v>580</v>
      </c>
    </row>
    <row r="383" spans="1:4" x14ac:dyDescent="0.45">
      <c r="A383" s="118" t="s">
        <v>804</v>
      </c>
      <c r="B383" s="118">
        <v>255</v>
      </c>
      <c r="C383" s="118" t="s">
        <v>807</v>
      </c>
      <c r="D383" s="118" t="s">
        <v>580</v>
      </c>
    </row>
    <row r="384" spans="1:4" x14ac:dyDescent="0.45">
      <c r="A384" s="118" t="s">
        <v>804</v>
      </c>
      <c r="B384" s="118">
        <v>3837</v>
      </c>
      <c r="C384" s="118" t="s">
        <v>673</v>
      </c>
      <c r="D384" s="118" t="s">
        <v>580</v>
      </c>
    </row>
    <row r="385" spans="1:5" x14ac:dyDescent="0.45">
      <c r="A385" s="118" t="s">
        <v>804</v>
      </c>
      <c r="B385" s="118">
        <v>80</v>
      </c>
      <c r="C385" s="118" t="s">
        <v>983</v>
      </c>
      <c r="D385" s="118" t="s">
        <v>596</v>
      </c>
    </row>
    <row r="386" spans="1:5" x14ac:dyDescent="0.45">
      <c r="A386" s="118" t="s">
        <v>808</v>
      </c>
      <c r="B386" s="118">
        <v>50</v>
      </c>
      <c r="C386" s="118" t="s">
        <v>809</v>
      </c>
      <c r="D386" s="118" t="s">
        <v>595</v>
      </c>
    </row>
    <row r="387" spans="1:5" x14ac:dyDescent="0.45">
      <c r="A387" s="118" t="s">
        <v>808</v>
      </c>
      <c r="B387" s="118">
        <v>35</v>
      </c>
      <c r="C387" s="118" t="s">
        <v>1049</v>
      </c>
      <c r="D387" s="118" t="s">
        <v>609</v>
      </c>
      <c r="E387" s="118" t="s">
        <v>853</v>
      </c>
    </row>
    <row r="388" spans="1:5" x14ac:dyDescent="0.45">
      <c r="A388" s="118" t="s">
        <v>808</v>
      </c>
      <c r="B388" s="118">
        <v>50</v>
      </c>
      <c r="C388" s="118" t="s">
        <v>810</v>
      </c>
      <c r="D388" s="118" t="s">
        <v>856</v>
      </c>
    </row>
    <row r="389" spans="1:5" x14ac:dyDescent="0.45">
      <c r="A389" s="118" t="s">
        <v>808</v>
      </c>
      <c r="B389" s="118">
        <v>50</v>
      </c>
      <c r="C389" s="118" t="s">
        <v>1048</v>
      </c>
      <c r="D389" s="118" t="s">
        <v>609</v>
      </c>
    </row>
    <row r="390" spans="1:5" x14ac:dyDescent="0.45">
      <c r="A390" s="118" t="s">
        <v>808</v>
      </c>
      <c r="B390" s="118">
        <v>25</v>
      </c>
      <c r="C390" s="118" t="s">
        <v>811</v>
      </c>
      <c r="D390" s="118" t="s">
        <v>857</v>
      </c>
    </row>
    <row r="391" spans="1:5" x14ac:dyDescent="0.45">
      <c r="A391" s="118" t="s">
        <v>808</v>
      </c>
      <c r="B391" s="118">
        <v>175</v>
      </c>
      <c r="C391" s="118" t="s">
        <v>812</v>
      </c>
      <c r="D391" s="118" t="s">
        <v>858</v>
      </c>
    </row>
    <row r="392" spans="1:5" x14ac:dyDescent="0.45">
      <c r="A392" s="118" t="s">
        <v>808</v>
      </c>
      <c r="B392" s="118">
        <v>20</v>
      </c>
      <c r="C392" s="118" t="s">
        <v>1050</v>
      </c>
      <c r="D392" s="118" t="s">
        <v>859</v>
      </c>
    </row>
    <row r="393" spans="1:5" x14ac:dyDescent="0.45">
      <c r="A393" s="118" t="s">
        <v>808</v>
      </c>
      <c r="B393" s="118">
        <v>20</v>
      </c>
      <c r="C393" s="118" t="s">
        <v>1051</v>
      </c>
      <c r="D393" s="118" t="s">
        <v>860</v>
      </c>
    </row>
    <row r="394" spans="1:5" x14ac:dyDescent="0.45">
      <c r="A394" s="118" t="s">
        <v>813</v>
      </c>
      <c r="B394" s="118">
        <v>11</v>
      </c>
      <c r="C394" s="118" t="s">
        <v>816</v>
      </c>
      <c r="D394" s="118" t="s">
        <v>580</v>
      </c>
    </row>
    <row r="395" spans="1:5" x14ac:dyDescent="0.45">
      <c r="A395" s="118" t="s">
        <v>813</v>
      </c>
      <c r="B395" s="118">
        <v>11</v>
      </c>
      <c r="C395" s="118" t="s">
        <v>814</v>
      </c>
      <c r="D395" s="118" t="s">
        <v>582</v>
      </c>
    </row>
    <row r="396" spans="1:5" x14ac:dyDescent="0.45">
      <c r="A396" s="118" t="s">
        <v>813</v>
      </c>
      <c r="B396" s="118">
        <v>30</v>
      </c>
      <c r="C396" s="118" t="s">
        <v>815</v>
      </c>
      <c r="D396" s="118" t="s">
        <v>582</v>
      </c>
    </row>
    <row r="397" spans="1:5" x14ac:dyDescent="0.45">
      <c r="A397" s="118" t="s">
        <v>813</v>
      </c>
      <c r="B397" s="118">
        <v>100</v>
      </c>
      <c r="C397" s="118" t="s">
        <v>817</v>
      </c>
      <c r="D397" s="118" t="s">
        <v>582</v>
      </c>
    </row>
    <row r="398" spans="1:5" x14ac:dyDescent="0.45">
      <c r="A398" s="118" t="s">
        <v>813</v>
      </c>
      <c r="B398" s="118">
        <v>185</v>
      </c>
      <c r="C398" s="118" t="s">
        <v>819</v>
      </c>
      <c r="D398" s="118" t="s">
        <v>580</v>
      </c>
    </row>
    <row r="399" spans="1:5" x14ac:dyDescent="0.45">
      <c r="A399" s="118" t="s">
        <v>813</v>
      </c>
      <c r="B399" s="118">
        <v>150</v>
      </c>
      <c r="C399" s="118" t="s">
        <v>818</v>
      </c>
      <c r="D399" s="118" t="s">
        <v>580</v>
      </c>
    </row>
    <row r="400" spans="1:5" x14ac:dyDescent="0.45">
      <c r="A400" s="118" t="s">
        <v>813</v>
      </c>
      <c r="B400" s="118">
        <v>150</v>
      </c>
      <c r="C400" s="118" t="s">
        <v>584</v>
      </c>
      <c r="D400" s="118" t="s">
        <v>580</v>
      </c>
    </row>
    <row r="401" spans="1:4" x14ac:dyDescent="0.45">
      <c r="A401" s="118" t="s">
        <v>813</v>
      </c>
      <c r="B401" s="118">
        <v>75</v>
      </c>
      <c r="C401" s="118" t="s">
        <v>583</v>
      </c>
      <c r="D401" s="118" t="s">
        <v>580</v>
      </c>
    </row>
    <row r="402" spans="1:4" x14ac:dyDescent="0.45">
      <c r="A402" s="118" t="s">
        <v>813</v>
      </c>
      <c r="B402" s="118">
        <v>50</v>
      </c>
      <c r="C402" s="118" t="s">
        <v>1052</v>
      </c>
      <c r="D402" s="118" t="s">
        <v>609</v>
      </c>
    </row>
    <row r="403" spans="1:4" x14ac:dyDescent="0.45">
      <c r="A403" s="118" t="s">
        <v>837</v>
      </c>
      <c r="B403" s="118">
        <f>500*9</f>
        <v>4500</v>
      </c>
      <c r="C403" s="118" t="s">
        <v>628</v>
      </c>
      <c r="D403" s="118" t="s">
        <v>580</v>
      </c>
    </row>
    <row r="404" spans="1:4" x14ac:dyDescent="0.45">
      <c r="A404" s="118" t="s">
        <v>469</v>
      </c>
      <c r="B404" s="118">
        <v>15</v>
      </c>
      <c r="C404" s="118" t="s">
        <v>579</v>
      </c>
      <c r="D404" s="118" t="s">
        <v>580</v>
      </c>
    </row>
    <row r="405" spans="1:4" x14ac:dyDescent="0.45">
      <c r="A405" s="118" t="s">
        <v>469</v>
      </c>
      <c r="B405" s="118">
        <v>100</v>
      </c>
      <c r="C405" s="118" t="s">
        <v>1048</v>
      </c>
      <c r="D405" s="118" t="s">
        <v>609</v>
      </c>
    </row>
    <row r="406" spans="1:4" x14ac:dyDescent="0.45">
      <c r="A406" s="118" t="s">
        <v>469</v>
      </c>
      <c r="B406" s="118">
        <v>100</v>
      </c>
      <c r="C406" s="118" t="s">
        <v>583</v>
      </c>
      <c r="D406" s="118" t="s">
        <v>586</v>
      </c>
    </row>
    <row r="407" spans="1:4" x14ac:dyDescent="0.45">
      <c r="A407" s="118" t="s">
        <v>469</v>
      </c>
      <c r="B407" s="118">
        <v>50</v>
      </c>
      <c r="C407" s="118" t="s">
        <v>805</v>
      </c>
      <c r="D407" s="118" t="s">
        <v>595</v>
      </c>
    </row>
    <row r="408" spans="1:4" x14ac:dyDescent="0.45">
      <c r="A408" s="118" t="s">
        <v>469</v>
      </c>
      <c r="B408" s="118">
        <v>150</v>
      </c>
      <c r="C408" s="118" t="s">
        <v>581</v>
      </c>
      <c r="D408" s="118" t="s">
        <v>585</v>
      </c>
    </row>
    <row r="409" spans="1:4" x14ac:dyDescent="0.45">
      <c r="A409" s="118" t="s">
        <v>469</v>
      </c>
      <c r="B409" s="118">
        <v>25</v>
      </c>
      <c r="C409" s="118" t="s">
        <v>1053</v>
      </c>
      <c r="D409" s="118" t="s">
        <v>859</v>
      </c>
    </row>
    <row r="410" spans="1:4" x14ac:dyDescent="0.45">
      <c r="A410" s="118" t="s">
        <v>469</v>
      </c>
      <c r="B410" s="118">
        <v>50</v>
      </c>
      <c r="C410" s="118" t="s">
        <v>845</v>
      </c>
      <c r="D410" s="118" t="s">
        <v>861</v>
      </c>
    </row>
    <row r="411" spans="1:4" x14ac:dyDescent="0.45">
      <c r="A411" s="118" t="s">
        <v>469</v>
      </c>
      <c r="B411" s="118">
        <v>25</v>
      </c>
      <c r="C411" s="118" t="s">
        <v>811</v>
      </c>
      <c r="D411" s="118" t="s">
        <v>857</v>
      </c>
    </row>
    <row r="412" spans="1:4" x14ac:dyDescent="0.45">
      <c r="A412" s="118" t="s">
        <v>844</v>
      </c>
      <c r="B412" s="118">
        <v>1000</v>
      </c>
      <c r="C412" s="118" t="s">
        <v>842</v>
      </c>
      <c r="D412" s="118" t="s">
        <v>580</v>
      </c>
    </row>
    <row r="413" spans="1:4" x14ac:dyDescent="0.45">
      <c r="A413" s="118" t="s">
        <v>844</v>
      </c>
      <c r="B413" s="118">
        <v>6</v>
      </c>
      <c r="C413" s="118" t="s">
        <v>579</v>
      </c>
      <c r="D413" s="118" t="s">
        <v>580</v>
      </c>
    </row>
    <row r="414" spans="1:4" x14ac:dyDescent="0.45">
      <c r="A414" s="118" t="s">
        <v>844</v>
      </c>
      <c r="B414" s="118">
        <v>50</v>
      </c>
      <c r="C414" s="118" t="s">
        <v>584</v>
      </c>
      <c r="D414" s="118" t="s">
        <v>580</v>
      </c>
    </row>
    <row r="415" spans="1:4" x14ac:dyDescent="0.45">
      <c r="A415" s="118" t="s">
        <v>844</v>
      </c>
      <c r="B415" s="118">
        <v>50</v>
      </c>
      <c r="C415" s="118" t="s">
        <v>583</v>
      </c>
      <c r="D415" s="118" t="s">
        <v>580</v>
      </c>
    </row>
    <row r="416" spans="1:4" x14ac:dyDescent="0.45">
      <c r="A416" s="118" t="s">
        <v>844</v>
      </c>
      <c r="B416" s="118">
        <v>20</v>
      </c>
      <c r="C416" s="118" t="s">
        <v>983</v>
      </c>
      <c r="D416" s="118" t="s">
        <v>596</v>
      </c>
    </row>
    <row r="417" spans="1:4" x14ac:dyDescent="0.45">
      <c r="A417" s="118" t="s">
        <v>844</v>
      </c>
      <c r="B417" s="118">
        <v>50</v>
      </c>
      <c r="C417" s="118" t="s">
        <v>1048</v>
      </c>
      <c r="D417" s="118" t="s">
        <v>609</v>
      </c>
    </row>
    <row r="418" spans="1:4" x14ac:dyDescent="0.45">
      <c r="A418" s="118" t="s">
        <v>844</v>
      </c>
      <c r="B418" s="118">
        <v>20</v>
      </c>
      <c r="C418" s="118" t="s">
        <v>1054</v>
      </c>
      <c r="D418" s="118" t="s">
        <v>862</v>
      </c>
    </row>
    <row r="419" spans="1:4" x14ac:dyDescent="0.45">
      <c r="A419" s="118" t="s">
        <v>844</v>
      </c>
      <c r="B419" s="118">
        <v>60</v>
      </c>
      <c r="C419" s="118" t="s">
        <v>798</v>
      </c>
      <c r="D419" s="118" t="s">
        <v>580</v>
      </c>
    </row>
    <row r="420" spans="1:4" x14ac:dyDescent="0.45">
      <c r="A420" s="118" t="s">
        <v>844</v>
      </c>
      <c r="B420" s="118">
        <v>20</v>
      </c>
      <c r="C420" s="118" t="s">
        <v>1055</v>
      </c>
      <c r="D420" s="118" t="s">
        <v>863</v>
      </c>
    </row>
    <row r="421" spans="1:4" x14ac:dyDescent="0.45">
      <c r="A421" s="118" t="s">
        <v>537</v>
      </c>
      <c r="B421" s="118">
        <v>20</v>
      </c>
      <c r="C421" s="118" t="s">
        <v>985</v>
      </c>
      <c r="D421" s="118" t="s">
        <v>608</v>
      </c>
    </row>
    <row r="422" spans="1:4" x14ac:dyDescent="0.45">
      <c r="A422" s="118" t="s">
        <v>537</v>
      </c>
      <c r="B422" s="118">
        <v>20</v>
      </c>
      <c r="C422" s="118" t="s">
        <v>986</v>
      </c>
      <c r="D422" s="118" t="s">
        <v>609</v>
      </c>
    </row>
    <row r="423" spans="1:4" x14ac:dyDescent="0.45">
      <c r="A423" s="118" t="s">
        <v>537</v>
      </c>
      <c r="B423" s="118">
        <v>50</v>
      </c>
      <c r="C423" s="118" t="s">
        <v>583</v>
      </c>
      <c r="D423" s="118" t="s">
        <v>586</v>
      </c>
    </row>
    <row r="424" spans="1:4" x14ac:dyDescent="0.45">
      <c r="A424" s="118" t="s">
        <v>537</v>
      </c>
      <c r="B424" s="118">
        <v>60</v>
      </c>
      <c r="C424" s="118" t="s">
        <v>593</v>
      </c>
      <c r="D424" s="118" t="s">
        <v>595</v>
      </c>
    </row>
    <row r="425" spans="1:4" x14ac:dyDescent="0.45">
      <c r="A425" s="118" t="s">
        <v>846</v>
      </c>
      <c r="B425" s="118">
        <v>20</v>
      </c>
      <c r="C425" s="118" t="s">
        <v>983</v>
      </c>
      <c r="D425" s="118" t="s">
        <v>596</v>
      </c>
    </row>
    <row r="426" spans="1:4" x14ac:dyDescent="0.45">
      <c r="A426" s="118" t="s">
        <v>846</v>
      </c>
      <c r="B426" s="118">
        <v>50</v>
      </c>
      <c r="C426" s="118" t="s">
        <v>583</v>
      </c>
      <c r="D426" s="118" t="s">
        <v>580</v>
      </c>
    </row>
    <row r="427" spans="1:4" x14ac:dyDescent="0.45">
      <c r="A427" s="118" t="s">
        <v>846</v>
      </c>
      <c r="B427" s="118">
        <v>20</v>
      </c>
      <c r="C427" s="118" t="s">
        <v>1056</v>
      </c>
      <c r="D427" s="118" t="s">
        <v>864</v>
      </c>
    </row>
    <row r="428" spans="1:4" x14ac:dyDescent="0.45">
      <c r="A428" s="118" t="s">
        <v>846</v>
      </c>
      <c r="B428" s="118">
        <v>50</v>
      </c>
      <c r="C428" s="118" t="s">
        <v>1057</v>
      </c>
      <c r="D428" s="118" t="s">
        <v>641</v>
      </c>
    </row>
    <row r="429" spans="1:4" x14ac:dyDescent="0.45">
      <c r="A429" s="118" t="s">
        <v>846</v>
      </c>
      <c r="B429" s="118">
        <v>100</v>
      </c>
      <c r="C429" s="118" t="s">
        <v>847</v>
      </c>
      <c r="D429" s="118" t="s">
        <v>865</v>
      </c>
    </row>
    <row r="430" spans="1:4" x14ac:dyDescent="0.45">
      <c r="A430" s="118" t="s">
        <v>846</v>
      </c>
      <c r="B430" s="118">
        <v>30</v>
      </c>
      <c r="C430" s="118" t="s">
        <v>848</v>
      </c>
      <c r="D430" s="118" t="s">
        <v>865</v>
      </c>
    </row>
    <row r="431" spans="1:4" x14ac:dyDescent="0.45">
      <c r="A431" s="118" t="s">
        <v>538</v>
      </c>
      <c r="B431" s="118">
        <v>75</v>
      </c>
      <c r="C431" s="118" t="s">
        <v>1048</v>
      </c>
      <c r="D431" s="118" t="s">
        <v>609</v>
      </c>
    </row>
    <row r="432" spans="1:4" x14ac:dyDescent="0.45">
      <c r="A432" s="118" t="s">
        <v>538</v>
      </c>
      <c r="B432" s="118">
        <v>75</v>
      </c>
      <c r="C432" s="118" t="s">
        <v>584</v>
      </c>
      <c r="D432" s="118" t="s">
        <v>580</v>
      </c>
    </row>
    <row r="433" spans="1:5" x14ac:dyDescent="0.45">
      <c r="A433" s="118" t="s">
        <v>538</v>
      </c>
      <c r="B433" s="118">
        <v>60</v>
      </c>
      <c r="C433" s="118" t="s">
        <v>593</v>
      </c>
      <c r="D433" s="118" t="s">
        <v>595</v>
      </c>
    </row>
    <row r="434" spans="1:5" x14ac:dyDescent="0.45">
      <c r="A434" s="118" t="s">
        <v>538</v>
      </c>
      <c r="B434" s="118">
        <v>50</v>
      </c>
      <c r="C434" s="118" t="s">
        <v>849</v>
      </c>
      <c r="D434" s="118" t="s">
        <v>866</v>
      </c>
    </row>
    <row r="435" spans="1:5" x14ac:dyDescent="0.45">
      <c r="A435" s="118" t="s">
        <v>538</v>
      </c>
      <c r="B435" s="118">
        <v>60</v>
      </c>
      <c r="C435" s="118" t="s">
        <v>850</v>
      </c>
      <c r="D435" s="118" t="s">
        <v>866</v>
      </c>
    </row>
    <row r="436" spans="1:5" x14ac:dyDescent="0.45">
      <c r="A436" s="118" t="s">
        <v>538</v>
      </c>
      <c r="B436" s="118">
        <v>50</v>
      </c>
      <c r="C436" s="118" t="s">
        <v>852</v>
      </c>
      <c r="D436" s="118" t="s">
        <v>866</v>
      </c>
    </row>
    <row r="437" spans="1:5" x14ac:dyDescent="0.45">
      <c r="A437" s="118" t="s">
        <v>538</v>
      </c>
      <c r="B437" s="118">
        <v>225</v>
      </c>
      <c r="C437" s="118" t="s">
        <v>851</v>
      </c>
      <c r="D437" s="118" t="s">
        <v>783</v>
      </c>
    </row>
    <row r="438" spans="1:5" x14ac:dyDescent="0.45">
      <c r="A438" s="118" t="s">
        <v>821</v>
      </c>
    </row>
    <row r="439" spans="1:5" x14ac:dyDescent="0.45">
      <c r="A439" s="118" t="s">
        <v>461</v>
      </c>
      <c r="B439" s="118">
        <v>110</v>
      </c>
      <c r="C439" s="118" t="s">
        <v>579</v>
      </c>
      <c r="D439" s="118" t="s">
        <v>580</v>
      </c>
    </row>
    <row r="440" spans="1:5" x14ac:dyDescent="0.45">
      <c r="A440" s="118" t="s">
        <v>461</v>
      </c>
      <c r="B440" s="118">
        <v>156</v>
      </c>
      <c r="C440" s="118" t="s">
        <v>1058</v>
      </c>
      <c r="D440" s="118" t="s">
        <v>580</v>
      </c>
      <c r="E440" s="118" t="s">
        <v>820</v>
      </c>
    </row>
    <row r="441" spans="1:5" x14ac:dyDescent="0.45">
      <c r="A441" s="118" t="s">
        <v>461</v>
      </c>
      <c r="B441" s="118">
        <v>400</v>
      </c>
      <c r="C441" s="118" t="s">
        <v>584</v>
      </c>
      <c r="D441" s="118" t="s">
        <v>580</v>
      </c>
    </row>
    <row r="442" spans="1:5" x14ac:dyDescent="0.45">
      <c r="A442" s="118" t="s">
        <v>461</v>
      </c>
      <c r="B442" s="118">
        <v>500</v>
      </c>
      <c r="C442" s="118" t="s">
        <v>583</v>
      </c>
      <c r="D442" s="118" t="s">
        <v>580</v>
      </c>
    </row>
    <row r="443" spans="1:5" x14ac:dyDescent="0.45">
      <c r="A443" s="118" t="s">
        <v>461</v>
      </c>
      <c r="B443" s="118">
        <v>400</v>
      </c>
      <c r="C443" s="118" t="s">
        <v>981</v>
      </c>
      <c r="D443" s="118" t="s">
        <v>580</v>
      </c>
    </row>
    <row r="444" spans="1:5" x14ac:dyDescent="0.45">
      <c r="A444" s="118" t="s">
        <v>461</v>
      </c>
      <c r="B444" s="118">
        <v>60</v>
      </c>
      <c r="C444" s="118" t="s">
        <v>648</v>
      </c>
      <c r="D444" s="118" t="s">
        <v>580</v>
      </c>
    </row>
    <row r="445" spans="1:5" x14ac:dyDescent="0.45">
      <c r="A445" s="118" t="s">
        <v>461</v>
      </c>
      <c r="B445" s="118">
        <v>100</v>
      </c>
      <c r="C445" s="118" t="s">
        <v>581</v>
      </c>
      <c r="D445" s="118" t="s">
        <v>580</v>
      </c>
    </row>
    <row r="446" spans="1:5" x14ac:dyDescent="0.45">
      <c r="A446" s="118" t="s">
        <v>461</v>
      </c>
      <c r="B446" s="118">
        <v>1000</v>
      </c>
      <c r="C446" s="118" t="s">
        <v>980</v>
      </c>
      <c r="D446" s="118" t="s">
        <v>580</v>
      </c>
    </row>
    <row r="447" spans="1:5" x14ac:dyDescent="0.45">
      <c r="A447" s="118" t="s">
        <v>461</v>
      </c>
      <c r="B447" s="118">
        <v>450</v>
      </c>
      <c r="C447" s="118" t="s">
        <v>1059</v>
      </c>
      <c r="D447" s="118" t="s">
        <v>580</v>
      </c>
    </row>
    <row r="448" spans="1:5" x14ac:dyDescent="0.45">
      <c r="A448" s="118" t="s">
        <v>461</v>
      </c>
      <c r="B448" s="118">
        <v>50</v>
      </c>
      <c r="C448" s="118" t="s">
        <v>1048</v>
      </c>
      <c r="D448" s="118" t="s">
        <v>580</v>
      </c>
    </row>
    <row r="449" spans="1:4" x14ac:dyDescent="0.45">
      <c r="A449" s="118" t="s">
        <v>461</v>
      </c>
      <c r="B449" s="118">
        <v>2218</v>
      </c>
      <c r="C449" s="118" t="s">
        <v>672</v>
      </c>
      <c r="D449" s="118" t="s">
        <v>580</v>
      </c>
    </row>
    <row r="450" spans="1:4" x14ac:dyDescent="0.45">
      <c r="A450" s="118" t="s">
        <v>461</v>
      </c>
      <c r="B450" s="118">
        <v>200</v>
      </c>
      <c r="C450" s="118" t="s">
        <v>1060</v>
      </c>
      <c r="D450" s="118" t="s">
        <v>580</v>
      </c>
    </row>
    <row r="451" spans="1:4" x14ac:dyDescent="0.45">
      <c r="A451" s="118" t="s">
        <v>822</v>
      </c>
    </row>
    <row r="452" spans="1:4" x14ac:dyDescent="0.45">
      <c r="A452" s="118" t="s">
        <v>823</v>
      </c>
      <c r="B452" s="118">
        <v>293</v>
      </c>
      <c r="C452" s="118" t="s">
        <v>579</v>
      </c>
      <c r="D452" s="118" t="s">
        <v>580</v>
      </c>
    </row>
    <row r="453" spans="1:4" x14ac:dyDescent="0.45">
      <c r="A453" s="118" t="s">
        <v>823</v>
      </c>
      <c r="B453" s="118">
        <v>200</v>
      </c>
      <c r="C453" s="118" t="s">
        <v>1060</v>
      </c>
      <c r="D453" s="118" t="s">
        <v>967</v>
      </c>
    </row>
    <row r="454" spans="1:4" x14ac:dyDescent="0.45">
      <c r="A454" s="118" t="s">
        <v>823</v>
      </c>
      <c r="B454" s="118">
        <v>200</v>
      </c>
      <c r="C454" s="118" t="s">
        <v>584</v>
      </c>
      <c r="D454" s="118" t="s">
        <v>587</v>
      </c>
    </row>
    <row r="455" spans="1:4" x14ac:dyDescent="0.45">
      <c r="A455" s="118" t="s">
        <v>823</v>
      </c>
      <c r="B455" s="118">
        <v>130</v>
      </c>
      <c r="C455" s="118" t="s">
        <v>807</v>
      </c>
      <c r="D455" s="118" t="s">
        <v>595</v>
      </c>
    </row>
    <row r="456" spans="1:4" x14ac:dyDescent="0.45">
      <c r="A456" s="118" t="s">
        <v>823</v>
      </c>
      <c r="B456" s="118">
        <v>140</v>
      </c>
      <c r="C456" s="118" t="s">
        <v>986</v>
      </c>
      <c r="D456" s="118" t="s">
        <v>609</v>
      </c>
    </row>
    <row r="457" spans="1:4" x14ac:dyDescent="0.45">
      <c r="A457" s="118" t="s">
        <v>823</v>
      </c>
      <c r="B457" s="118">
        <v>50</v>
      </c>
      <c r="C457" s="118" t="s">
        <v>618</v>
      </c>
      <c r="D457" s="118" t="s">
        <v>586</v>
      </c>
    </row>
    <row r="458" spans="1:4" x14ac:dyDescent="0.45">
      <c r="A458" s="118" t="s">
        <v>823</v>
      </c>
      <c r="B458" s="118">
        <v>80</v>
      </c>
      <c r="C458" s="118" t="s">
        <v>1036</v>
      </c>
      <c r="D458" s="118" t="s">
        <v>582</v>
      </c>
    </row>
    <row r="459" spans="1:4" x14ac:dyDescent="0.45">
      <c r="A459" s="118" t="s">
        <v>823</v>
      </c>
      <c r="B459" s="118">
        <v>100</v>
      </c>
      <c r="C459" s="118" t="s">
        <v>581</v>
      </c>
      <c r="D459" s="118" t="s">
        <v>585</v>
      </c>
    </row>
    <row r="460" spans="1:4" x14ac:dyDescent="0.45">
      <c r="A460" s="118" t="s">
        <v>823</v>
      </c>
      <c r="B460" s="118">
        <v>75</v>
      </c>
      <c r="C460" s="118" t="s">
        <v>824</v>
      </c>
      <c r="D460" s="118" t="s">
        <v>869</v>
      </c>
    </row>
    <row r="461" spans="1:4" x14ac:dyDescent="0.45">
      <c r="A461" s="118" t="s">
        <v>823</v>
      </c>
      <c r="B461" s="118">
        <v>125</v>
      </c>
      <c r="C461" s="118" t="s">
        <v>825</v>
      </c>
      <c r="D461" s="118" t="s">
        <v>856</v>
      </c>
    </row>
    <row r="462" spans="1:4" x14ac:dyDescent="0.45">
      <c r="A462" s="118" t="s">
        <v>823</v>
      </c>
      <c r="B462" s="118">
        <v>25</v>
      </c>
      <c r="C462" s="118" t="s">
        <v>826</v>
      </c>
      <c r="D462" s="118" t="s">
        <v>599</v>
      </c>
    </row>
    <row r="463" spans="1:4" x14ac:dyDescent="0.45">
      <c r="A463" s="118" t="s">
        <v>823</v>
      </c>
      <c r="B463" s="118">
        <v>20</v>
      </c>
      <c r="C463" s="118" t="s">
        <v>983</v>
      </c>
      <c r="D463" s="118" t="s">
        <v>596</v>
      </c>
    </row>
    <row r="464" spans="1:4" x14ac:dyDescent="0.45">
      <c r="A464" s="118" t="s">
        <v>827</v>
      </c>
      <c r="B464" s="118">
        <v>20</v>
      </c>
      <c r="C464" s="118" t="s">
        <v>1061</v>
      </c>
      <c r="D464" s="118" t="s">
        <v>609</v>
      </c>
    </row>
    <row r="465" spans="1:4" x14ac:dyDescent="0.45">
      <c r="A465" s="118" t="s">
        <v>827</v>
      </c>
      <c r="B465" s="118">
        <v>20</v>
      </c>
      <c r="C465" s="118" t="s">
        <v>986</v>
      </c>
      <c r="D465" s="118" t="s">
        <v>609</v>
      </c>
    </row>
    <row r="466" spans="1:4" x14ac:dyDescent="0.45">
      <c r="A466" s="118" t="s">
        <v>827</v>
      </c>
      <c r="B466" s="118">
        <v>75</v>
      </c>
      <c r="C466" s="118" t="s">
        <v>584</v>
      </c>
      <c r="D466" s="118" t="s">
        <v>580</v>
      </c>
    </row>
    <row r="467" spans="1:4" x14ac:dyDescent="0.45">
      <c r="A467" s="118" t="s">
        <v>827</v>
      </c>
      <c r="B467" s="118">
        <v>100</v>
      </c>
      <c r="C467" s="118" t="s">
        <v>581</v>
      </c>
      <c r="D467" s="118" t="s">
        <v>580</v>
      </c>
    </row>
    <row r="468" spans="1:4" x14ac:dyDescent="0.45">
      <c r="A468" s="118" t="s">
        <v>827</v>
      </c>
      <c r="B468" s="118">
        <v>1500</v>
      </c>
      <c r="C468" s="118" t="s">
        <v>749</v>
      </c>
      <c r="D468" s="118" t="s">
        <v>599</v>
      </c>
    </row>
    <row r="469" spans="1:4" x14ac:dyDescent="0.45">
      <c r="A469" s="118" t="s">
        <v>828</v>
      </c>
      <c r="B469" s="118">
        <v>400</v>
      </c>
      <c r="C469" s="118" t="s">
        <v>1060</v>
      </c>
      <c r="D469" s="118" t="s">
        <v>967</v>
      </c>
    </row>
    <row r="470" spans="1:4" x14ac:dyDescent="0.45">
      <c r="A470" s="118" t="s">
        <v>828</v>
      </c>
      <c r="B470" s="118">
        <v>19</v>
      </c>
      <c r="C470" s="118" t="s">
        <v>1058</v>
      </c>
      <c r="D470" s="118" t="s">
        <v>609</v>
      </c>
    </row>
    <row r="471" spans="1:4" x14ac:dyDescent="0.45">
      <c r="A471" s="118" t="s">
        <v>828</v>
      </c>
      <c r="B471" s="118">
        <v>200</v>
      </c>
      <c r="C471" s="118" t="s">
        <v>584</v>
      </c>
      <c r="D471" s="118" t="s">
        <v>580</v>
      </c>
    </row>
    <row r="472" spans="1:4" x14ac:dyDescent="0.45">
      <c r="A472" s="118" t="s">
        <v>828</v>
      </c>
      <c r="B472" s="118">
        <v>50</v>
      </c>
      <c r="C472" s="118" t="s">
        <v>583</v>
      </c>
      <c r="D472" s="118" t="s">
        <v>580</v>
      </c>
    </row>
    <row r="473" spans="1:4" x14ac:dyDescent="0.45">
      <c r="A473" s="118" t="s">
        <v>828</v>
      </c>
      <c r="B473" s="118">
        <v>130</v>
      </c>
      <c r="C473" s="118" t="s">
        <v>798</v>
      </c>
      <c r="D473" s="118" t="s">
        <v>580</v>
      </c>
    </row>
    <row r="474" spans="1:4" x14ac:dyDescent="0.45">
      <c r="A474" s="118" t="s">
        <v>828</v>
      </c>
      <c r="B474" s="118">
        <v>45</v>
      </c>
      <c r="C474" s="118" t="s">
        <v>579</v>
      </c>
      <c r="D474" s="118" t="s">
        <v>580</v>
      </c>
    </row>
    <row r="475" spans="1:4" x14ac:dyDescent="0.45">
      <c r="A475" s="118" t="s">
        <v>828</v>
      </c>
      <c r="B475" s="118">
        <v>50</v>
      </c>
      <c r="C475" s="118" t="s">
        <v>736</v>
      </c>
      <c r="D475" s="118" t="s">
        <v>580</v>
      </c>
    </row>
    <row r="476" spans="1:4" x14ac:dyDescent="0.45">
      <c r="A476" s="118" t="s">
        <v>828</v>
      </c>
      <c r="B476" s="118">
        <v>20</v>
      </c>
      <c r="C476" s="118" t="s">
        <v>983</v>
      </c>
      <c r="D476" s="118" t="s">
        <v>596</v>
      </c>
    </row>
    <row r="477" spans="1:4" x14ac:dyDescent="0.45">
      <c r="A477" s="118" t="s">
        <v>828</v>
      </c>
      <c r="B477" s="118">
        <v>40</v>
      </c>
      <c r="C477" s="118" t="s">
        <v>1036</v>
      </c>
      <c r="D477" s="118" t="s">
        <v>582</v>
      </c>
    </row>
    <row r="478" spans="1:4" x14ac:dyDescent="0.45">
      <c r="A478" s="118" t="s">
        <v>828</v>
      </c>
      <c r="B478" s="118">
        <v>20</v>
      </c>
      <c r="C478" s="118" t="s">
        <v>986</v>
      </c>
      <c r="D478" s="118" t="s">
        <v>609</v>
      </c>
    </row>
    <row r="479" spans="1:4" x14ac:dyDescent="0.45">
      <c r="A479" s="118" t="s">
        <v>828</v>
      </c>
      <c r="B479" s="118">
        <v>25</v>
      </c>
      <c r="C479" s="118" t="s">
        <v>829</v>
      </c>
      <c r="D479" s="118" t="s">
        <v>582</v>
      </c>
    </row>
    <row r="480" spans="1:4" x14ac:dyDescent="0.45">
      <c r="A480" s="118" t="s">
        <v>830</v>
      </c>
      <c r="B480" s="118">
        <v>28</v>
      </c>
      <c r="C480" s="118" t="s">
        <v>579</v>
      </c>
      <c r="D480" s="118" t="s">
        <v>580</v>
      </c>
    </row>
    <row r="481" spans="1:4" x14ac:dyDescent="0.45">
      <c r="A481" s="118" t="s">
        <v>830</v>
      </c>
      <c r="B481" s="118">
        <v>100</v>
      </c>
      <c r="C481" s="118" t="s">
        <v>584</v>
      </c>
      <c r="D481" s="118" t="s">
        <v>580</v>
      </c>
    </row>
    <row r="482" spans="1:4" x14ac:dyDescent="0.45">
      <c r="A482" s="118" t="s">
        <v>830</v>
      </c>
      <c r="B482" s="118">
        <v>30</v>
      </c>
      <c r="C482" s="118" t="s">
        <v>593</v>
      </c>
      <c r="D482" s="118" t="s">
        <v>580</v>
      </c>
    </row>
    <row r="483" spans="1:4" x14ac:dyDescent="0.45">
      <c r="A483" s="118" t="s">
        <v>830</v>
      </c>
      <c r="B483" s="118">
        <v>50</v>
      </c>
      <c r="C483" s="118" t="s">
        <v>618</v>
      </c>
      <c r="D483" s="118" t="s">
        <v>580</v>
      </c>
    </row>
    <row r="484" spans="1:4" x14ac:dyDescent="0.45">
      <c r="A484" s="118" t="s">
        <v>831</v>
      </c>
      <c r="B484" s="118">
        <v>130</v>
      </c>
      <c r="C484" s="118" t="s">
        <v>579</v>
      </c>
      <c r="D484" s="118" t="s">
        <v>580</v>
      </c>
    </row>
    <row r="485" spans="1:4" x14ac:dyDescent="0.45">
      <c r="A485" s="118" t="s">
        <v>831</v>
      </c>
      <c r="B485" s="118">
        <v>300</v>
      </c>
      <c r="C485" s="118" t="s">
        <v>584</v>
      </c>
      <c r="D485" s="118" t="s">
        <v>587</v>
      </c>
    </row>
    <row r="486" spans="1:4" x14ac:dyDescent="0.45">
      <c r="A486" s="118" t="s">
        <v>831</v>
      </c>
      <c r="B486" s="118">
        <v>200</v>
      </c>
      <c r="C486" s="118" t="s">
        <v>798</v>
      </c>
      <c r="D486" s="118" t="s">
        <v>595</v>
      </c>
    </row>
    <row r="487" spans="1:4" x14ac:dyDescent="0.45">
      <c r="A487" s="118" t="s">
        <v>831</v>
      </c>
      <c r="B487" s="118">
        <v>300</v>
      </c>
      <c r="C487" s="118" t="s">
        <v>581</v>
      </c>
      <c r="D487" s="118" t="s">
        <v>585</v>
      </c>
    </row>
    <row r="488" spans="1:4" x14ac:dyDescent="0.45">
      <c r="A488" s="118" t="s">
        <v>831</v>
      </c>
      <c r="B488" s="118">
        <v>25</v>
      </c>
      <c r="C488" s="118" t="s">
        <v>1062</v>
      </c>
      <c r="D488" s="118" t="s">
        <v>771</v>
      </c>
    </row>
    <row r="489" spans="1:4" x14ac:dyDescent="0.45">
      <c r="A489" s="118" t="s">
        <v>831</v>
      </c>
      <c r="B489" s="118">
        <v>40</v>
      </c>
      <c r="C489" s="118" t="s">
        <v>984</v>
      </c>
      <c r="D489" s="118" t="s">
        <v>609</v>
      </c>
    </row>
    <row r="490" spans="1:4" x14ac:dyDescent="0.45">
      <c r="A490" s="118" t="s">
        <v>831</v>
      </c>
      <c r="B490" s="118">
        <v>125</v>
      </c>
      <c r="C490" s="118" t="s">
        <v>583</v>
      </c>
      <c r="D490" s="118" t="s">
        <v>586</v>
      </c>
    </row>
    <row r="491" spans="1:4" x14ac:dyDescent="0.45">
      <c r="A491" s="118" t="s">
        <v>831</v>
      </c>
      <c r="B491" s="118">
        <v>40</v>
      </c>
      <c r="C491" s="118" t="s">
        <v>983</v>
      </c>
      <c r="D491" s="118" t="s">
        <v>596</v>
      </c>
    </row>
    <row r="492" spans="1:4" x14ac:dyDescent="0.45">
      <c r="A492" s="118" t="s">
        <v>831</v>
      </c>
      <c r="B492" s="118">
        <v>50</v>
      </c>
      <c r="C492" s="118" t="s">
        <v>832</v>
      </c>
      <c r="D492" s="118" t="s">
        <v>599</v>
      </c>
    </row>
    <row r="493" spans="1:4" x14ac:dyDescent="0.45">
      <c r="A493" s="118" t="s">
        <v>831</v>
      </c>
      <c r="B493" s="118">
        <v>100</v>
      </c>
      <c r="C493" s="118" t="s">
        <v>1060</v>
      </c>
      <c r="D493" s="118" t="s">
        <v>967</v>
      </c>
    </row>
    <row r="494" spans="1:4" x14ac:dyDescent="0.45">
      <c r="A494" s="118" t="s">
        <v>831</v>
      </c>
      <c r="B494" s="118">
        <v>100</v>
      </c>
      <c r="C494" s="118" t="s">
        <v>1029</v>
      </c>
      <c r="D494" s="118" t="s">
        <v>609</v>
      </c>
    </row>
    <row r="495" spans="1:4" x14ac:dyDescent="0.45">
      <c r="A495" s="118" t="s">
        <v>831</v>
      </c>
      <c r="B495" s="118">
        <v>1630</v>
      </c>
      <c r="C495" s="118" t="s">
        <v>601</v>
      </c>
      <c r="D495" s="118" t="s">
        <v>580</v>
      </c>
    </row>
    <row r="496" spans="1:4" x14ac:dyDescent="0.45">
      <c r="A496" s="118" t="s">
        <v>833</v>
      </c>
      <c r="B496" s="118">
        <v>1500</v>
      </c>
      <c r="C496" s="118" t="s">
        <v>628</v>
      </c>
      <c r="D496" s="118" t="s">
        <v>580</v>
      </c>
    </row>
    <row r="497" spans="1:5" x14ac:dyDescent="0.45">
      <c r="A497" s="118" t="s">
        <v>833</v>
      </c>
      <c r="B497" s="118">
        <v>50</v>
      </c>
      <c r="C497" s="118" t="s">
        <v>836</v>
      </c>
      <c r="D497" s="118" t="s">
        <v>580</v>
      </c>
    </row>
    <row r="498" spans="1:5" x14ac:dyDescent="0.45">
      <c r="A498" s="118" t="s">
        <v>833</v>
      </c>
      <c r="B498" s="118">
        <v>100</v>
      </c>
      <c r="C498" s="118" t="s">
        <v>835</v>
      </c>
      <c r="D498" s="118" t="s">
        <v>580</v>
      </c>
    </row>
    <row r="499" spans="1:5" x14ac:dyDescent="0.45">
      <c r="A499" s="118" t="s">
        <v>833</v>
      </c>
      <c r="B499" s="118">
        <v>75</v>
      </c>
      <c r="C499" s="118" t="s">
        <v>834</v>
      </c>
      <c r="D499" s="118" t="s">
        <v>580</v>
      </c>
    </row>
    <row r="500" spans="1:5" x14ac:dyDescent="0.45">
      <c r="A500" s="118" t="s">
        <v>833</v>
      </c>
      <c r="B500" s="118">
        <v>390</v>
      </c>
      <c r="C500" s="118" t="s">
        <v>868</v>
      </c>
      <c r="D500" s="118" t="s">
        <v>580</v>
      </c>
    </row>
    <row r="501" spans="1:5" x14ac:dyDescent="0.45">
      <c r="A501" s="118" t="s">
        <v>833</v>
      </c>
      <c r="B501" s="118">
        <v>260</v>
      </c>
      <c r="C501" s="118" t="s">
        <v>867</v>
      </c>
      <c r="D501" s="118" t="s">
        <v>595</v>
      </c>
    </row>
    <row r="502" spans="1:5" x14ac:dyDescent="0.45">
      <c r="A502" s="118" t="s">
        <v>833</v>
      </c>
      <c r="B502" s="118">
        <v>20</v>
      </c>
      <c r="C502" s="118" t="s">
        <v>985</v>
      </c>
      <c r="D502" s="118" t="s">
        <v>791</v>
      </c>
    </row>
    <row r="503" spans="1:5" x14ac:dyDescent="0.45">
      <c r="A503" s="118" t="s">
        <v>833</v>
      </c>
      <c r="B503" s="118">
        <v>75</v>
      </c>
      <c r="C503" s="118" t="s">
        <v>584</v>
      </c>
      <c r="D503" s="118" t="s">
        <v>580</v>
      </c>
    </row>
    <row r="504" spans="1:5" x14ac:dyDescent="0.45">
      <c r="A504" s="118" t="s">
        <v>833</v>
      </c>
      <c r="B504" s="118">
        <v>25</v>
      </c>
      <c r="C504" s="118" t="s">
        <v>618</v>
      </c>
      <c r="D504" s="118" t="s">
        <v>580</v>
      </c>
    </row>
    <row r="505" spans="1:5" x14ac:dyDescent="0.45">
      <c r="A505" s="118" t="s">
        <v>838</v>
      </c>
      <c r="B505" s="118">
        <v>87</v>
      </c>
      <c r="C505" s="118" t="s">
        <v>579</v>
      </c>
      <c r="D505" s="118" t="s">
        <v>580</v>
      </c>
    </row>
    <row r="506" spans="1:5" x14ac:dyDescent="0.45">
      <c r="A506" s="118" t="s">
        <v>838</v>
      </c>
      <c r="B506" s="118">
        <v>175</v>
      </c>
      <c r="C506" s="118" t="s">
        <v>584</v>
      </c>
      <c r="D506" s="118" t="s">
        <v>587</v>
      </c>
    </row>
    <row r="507" spans="1:5" x14ac:dyDescent="0.45">
      <c r="A507" s="118" t="s">
        <v>838</v>
      </c>
      <c r="B507" s="118">
        <v>200</v>
      </c>
      <c r="C507" s="118" t="s">
        <v>581</v>
      </c>
      <c r="D507" s="118" t="s">
        <v>585</v>
      </c>
    </row>
    <row r="508" spans="1:5" x14ac:dyDescent="0.45">
      <c r="A508" s="118" t="s">
        <v>838</v>
      </c>
      <c r="B508" s="118">
        <v>25</v>
      </c>
      <c r="C508" s="118" t="s">
        <v>583</v>
      </c>
      <c r="D508" s="118" t="s">
        <v>586</v>
      </c>
    </row>
    <row r="509" spans="1:5" x14ac:dyDescent="0.45">
      <c r="A509" s="118" t="s">
        <v>838</v>
      </c>
      <c r="B509" s="118">
        <v>30</v>
      </c>
      <c r="C509" s="118" t="s">
        <v>593</v>
      </c>
      <c r="D509" s="118" t="s">
        <v>595</v>
      </c>
    </row>
    <row r="510" spans="1:5" x14ac:dyDescent="0.45">
      <c r="A510" s="118" t="s">
        <v>838</v>
      </c>
      <c r="B510" s="118">
        <v>20</v>
      </c>
      <c r="C510" s="118" t="s">
        <v>983</v>
      </c>
      <c r="D510" s="118" t="s">
        <v>596</v>
      </c>
    </row>
    <row r="511" spans="1:5" x14ac:dyDescent="0.45">
      <c r="A511" s="118" t="s">
        <v>838</v>
      </c>
      <c r="B511" s="118">
        <v>32</v>
      </c>
      <c r="C511" s="118" t="s">
        <v>1058</v>
      </c>
      <c r="D511" s="118" t="s">
        <v>609</v>
      </c>
      <c r="E511" s="118" t="s">
        <v>839</v>
      </c>
    </row>
    <row r="512" spans="1:5" x14ac:dyDescent="0.45">
      <c r="A512" s="118" t="s">
        <v>838</v>
      </c>
      <c r="B512" s="118">
        <v>75</v>
      </c>
      <c r="C512" s="118" t="s">
        <v>1060</v>
      </c>
      <c r="D512" s="118" t="s">
        <v>967</v>
      </c>
    </row>
    <row r="513" spans="1:4" x14ac:dyDescent="0.45">
      <c r="A513" s="118" t="s">
        <v>840</v>
      </c>
      <c r="B513" s="118">
        <v>40</v>
      </c>
      <c r="C513" s="118" t="s">
        <v>1061</v>
      </c>
      <c r="D513" s="118" t="s">
        <v>580</v>
      </c>
    </row>
    <row r="514" spans="1:4" x14ac:dyDescent="0.45">
      <c r="A514" s="118" t="s">
        <v>840</v>
      </c>
      <c r="B514" s="118">
        <v>20</v>
      </c>
      <c r="C514" s="118" t="s">
        <v>986</v>
      </c>
      <c r="D514" s="118" t="s">
        <v>580</v>
      </c>
    </row>
    <row r="515" spans="1:4" x14ac:dyDescent="0.45">
      <c r="A515" s="118" t="s">
        <v>840</v>
      </c>
      <c r="B515" s="118">
        <v>20</v>
      </c>
      <c r="C515" s="118" t="s">
        <v>983</v>
      </c>
      <c r="D515" s="118" t="s">
        <v>582</v>
      </c>
    </row>
    <row r="516" spans="1:4" x14ac:dyDescent="0.45">
      <c r="A516" s="118" t="s">
        <v>841</v>
      </c>
      <c r="B516" s="118">
        <v>5000</v>
      </c>
      <c r="C516" s="118" t="s">
        <v>842</v>
      </c>
      <c r="D516" s="118" t="s">
        <v>580</v>
      </c>
    </row>
    <row r="517" spans="1:4" x14ac:dyDescent="0.45">
      <c r="A517" s="118" t="s">
        <v>841</v>
      </c>
      <c r="B517" s="118">
        <v>50</v>
      </c>
      <c r="C517" s="118" t="s">
        <v>1060</v>
      </c>
      <c r="D517" s="118" t="s">
        <v>967</v>
      </c>
    </row>
    <row r="518" spans="1:4" x14ac:dyDescent="0.45">
      <c r="A518" s="118" t="s">
        <v>841</v>
      </c>
      <c r="B518" s="118">
        <v>20</v>
      </c>
      <c r="C518" s="118" t="s">
        <v>983</v>
      </c>
      <c r="D518" s="118" t="s">
        <v>596</v>
      </c>
    </row>
    <row r="519" spans="1:4" x14ac:dyDescent="0.45">
      <c r="A519" s="118" t="s">
        <v>841</v>
      </c>
      <c r="B519" s="118">
        <v>80</v>
      </c>
      <c r="C519" s="118" t="s">
        <v>986</v>
      </c>
      <c r="D519" s="118" t="s">
        <v>609</v>
      </c>
    </row>
    <row r="520" spans="1:4" x14ac:dyDescent="0.45">
      <c r="A520" s="118" t="s">
        <v>841</v>
      </c>
      <c r="B520" s="118">
        <v>100</v>
      </c>
      <c r="C520" s="118" t="s">
        <v>584</v>
      </c>
      <c r="D520" s="118" t="s">
        <v>580</v>
      </c>
    </row>
    <row r="521" spans="1:4" x14ac:dyDescent="0.45">
      <c r="A521" s="118" t="s">
        <v>841</v>
      </c>
      <c r="B521" s="118">
        <v>50</v>
      </c>
      <c r="C521" s="118" t="s">
        <v>736</v>
      </c>
      <c r="D521" s="118" t="s">
        <v>580</v>
      </c>
    </row>
    <row r="522" spans="1:4" x14ac:dyDescent="0.45">
      <c r="A522" s="118" t="s">
        <v>843</v>
      </c>
      <c r="B522" s="118">
        <v>100</v>
      </c>
      <c r="C522" s="118" t="s">
        <v>676</v>
      </c>
      <c r="D522" s="118" t="s">
        <v>580</v>
      </c>
    </row>
    <row r="523" spans="1:4" x14ac:dyDescent="0.45">
      <c r="A523" s="118" t="s">
        <v>843</v>
      </c>
      <c r="B523" s="118">
        <v>20</v>
      </c>
      <c r="C523" s="118" t="s">
        <v>983</v>
      </c>
      <c r="D523" s="118" t="s">
        <v>582</v>
      </c>
    </row>
    <row r="524" spans="1:4" x14ac:dyDescent="0.45">
      <c r="A524" s="118" t="s">
        <v>843</v>
      </c>
      <c r="B524" s="118">
        <v>20</v>
      </c>
      <c r="C524" s="118" t="s">
        <v>986</v>
      </c>
      <c r="D524" s="118" t="s">
        <v>580</v>
      </c>
    </row>
    <row r="525" spans="1:4" x14ac:dyDescent="0.45">
      <c r="A525" s="118" t="s">
        <v>843</v>
      </c>
      <c r="B525" s="118">
        <v>60</v>
      </c>
      <c r="C525" s="118" t="s">
        <v>1063</v>
      </c>
      <c r="D525" s="118" t="s">
        <v>582</v>
      </c>
    </row>
    <row r="526" spans="1:4" x14ac:dyDescent="0.45">
      <c r="A526" s="118" t="s">
        <v>843</v>
      </c>
      <c r="B526" s="118">
        <v>46</v>
      </c>
      <c r="C526" s="118" t="s">
        <v>579</v>
      </c>
      <c r="D526" s="118" t="s">
        <v>580</v>
      </c>
    </row>
    <row r="527" spans="1:4" x14ac:dyDescent="0.45">
      <c r="A527" s="118" t="s">
        <v>843</v>
      </c>
      <c r="B527" s="118">
        <v>100</v>
      </c>
      <c r="C527" s="118" t="s">
        <v>581</v>
      </c>
      <c r="D527" s="118" t="s">
        <v>580</v>
      </c>
    </row>
    <row r="528" spans="1:4" x14ac:dyDescent="0.45">
      <c r="A528" s="118" t="s">
        <v>843</v>
      </c>
      <c r="B528" s="118">
        <v>50</v>
      </c>
      <c r="C528" s="118" t="s">
        <v>583</v>
      </c>
      <c r="D528" s="118" t="s">
        <v>580</v>
      </c>
    </row>
    <row r="529" spans="1:4" x14ac:dyDescent="0.45">
      <c r="A529" s="118" t="s">
        <v>870</v>
      </c>
    </row>
    <row r="530" spans="1:4" x14ac:dyDescent="0.45">
      <c r="A530" s="118" t="s">
        <v>871</v>
      </c>
      <c r="B530" s="118">
        <v>100</v>
      </c>
      <c r="C530" s="118" t="s">
        <v>872</v>
      </c>
      <c r="D530" s="118" t="s">
        <v>768</v>
      </c>
    </row>
    <row r="531" spans="1:4" x14ac:dyDescent="0.45">
      <c r="A531" s="118" t="s">
        <v>871</v>
      </c>
      <c r="B531" s="118">
        <v>263</v>
      </c>
      <c r="C531" s="118" t="s">
        <v>579</v>
      </c>
      <c r="D531" s="118" t="s">
        <v>580</v>
      </c>
    </row>
    <row r="532" spans="1:4" x14ac:dyDescent="0.45">
      <c r="A532" s="118" t="s">
        <v>871</v>
      </c>
      <c r="B532" s="118">
        <v>300</v>
      </c>
      <c r="C532" s="118" t="s">
        <v>583</v>
      </c>
      <c r="D532" s="118" t="s">
        <v>586</v>
      </c>
    </row>
    <row r="533" spans="1:4" x14ac:dyDescent="0.45">
      <c r="A533" s="118" t="s">
        <v>871</v>
      </c>
      <c r="B533" s="118">
        <v>350</v>
      </c>
      <c r="C533" s="118" t="s">
        <v>584</v>
      </c>
      <c r="D533" s="118" t="s">
        <v>587</v>
      </c>
    </row>
    <row r="534" spans="1:4" x14ac:dyDescent="0.45">
      <c r="A534" s="118" t="s">
        <v>871</v>
      </c>
      <c r="B534" s="118">
        <v>30</v>
      </c>
      <c r="C534" s="118" t="s">
        <v>593</v>
      </c>
      <c r="D534" s="118" t="s">
        <v>595</v>
      </c>
    </row>
    <row r="535" spans="1:4" x14ac:dyDescent="0.45">
      <c r="A535" s="118" t="s">
        <v>871</v>
      </c>
      <c r="B535" s="118">
        <v>350</v>
      </c>
      <c r="C535" s="118" t="s">
        <v>581</v>
      </c>
      <c r="D535" s="118" t="s">
        <v>585</v>
      </c>
    </row>
    <row r="536" spans="1:4" x14ac:dyDescent="0.45">
      <c r="A536" s="118" t="s">
        <v>871</v>
      </c>
      <c r="B536" s="118">
        <v>375</v>
      </c>
      <c r="C536" s="118" t="s">
        <v>1060</v>
      </c>
      <c r="D536" s="118" t="s">
        <v>967</v>
      </c>
    </row>
    <row r="537" spans="1:4" x14ac:dyDescent="0.45">
      <c r="A537" s="118" t="s">
        <v>871</v>
      </c>
      <c r="B537" s="118">
        <v>140</v>
      </c>
      <c r="C537" s="118" t="s">
        <v>986</v>
      </c>
      <c r="D537" s="118" t="s">
        <v>609</v>
      </c>
    </row>
    <row r="538" spans="1:4" x14ac:dyDescent="0.45">
      <c r="A538" s="118" t="s">
        <v>871</v>
      </c>
      <c r="B538" s="118">
        <v>80</v>
      </c>
      <c r="C538" s="118" t="s">
        <v>1036</v>
      </c>
      <c r="D538" s="118" t="s">
        <v>582</v>
      </c>
    </row>
    <row r="539" spans="1:4" x14ac:dyDescent="0.45">
      <c r="A539" s="118" t="s">
        <v>871</v>
      </c>
      <c r="B539" s="118">
        <v>60</v>
      </c>
      <c r="C539" s="118" t="s">
        <v>983</v>
      </c>
      <c r="D539" s="118" t="s">
        <v>596</v>
      </c>
    </row>
    <row r="540" spans="1:4" x14ac:dyDescent="0.45">
      <c r="A540" s="118" t="s">
        <v>871</v>
      </c>
      <c r="B540" s="118">
        <v>1000</v>
      </c>
      <c r="C540" s="118" t="s">
        <v>957</v>
      </c>
      <c r="D540" s="118" t="s">
        <v>599</v>
      </c>
    </row>
    <row r="541" spans="1:4" x14ac:dyDescent="0.45">
      <c r="A541" s="118" t="s">
        <v>874</v>
      </c>
      <c r="B541" s="118">
        <v>1500</v>
      </c>
      <c r="C541" s="118" t="s">
        <v>875</v>
      </c>
      <c r="D541" s="118" t="s">
        <v>599</v>
      </c>
    </row>
    <row r="542" spans="1:4" x14ac:dyDescent="0.45">
      <c r="A542" s="118" t="s">
        <v>876</v>
      </c>
      <c r="B542" s="118">
        <v>259</v>
      </c>
      <c r="C542" s="118" t="s">
        <v>579</v>
      </c>
      <c r="D542" s="118" t="s">
        <v>580</v>
      </c>
    </row>
    <row r="543" spans="1:4" x14ac:dyDescent="0.45">
      <c r="A543" s="118" t="s">
        <v>876</v>
      </c>
      <c r="B543" s="118">
        <v>325</v>
      </c>
      <c r="C543" s="118" t="s">
        <v>584</v>
      </c>
      <c r="D543" s="118" t="s">
        <v>580</v>
      </c>
    </row>
    <row r="544" spans="1:4" x14ac:dyDescent="0.45">
      <c r="A544" s="118" t="s">
        <v>876</v>
      </c>
      <c r="B544" s="118">
        <v>650</v>
      </c>
      <c r="C544" s="118" t="s">
        <v>581</v>
      </c>
      <c r="D544" s="118" t="s">
        <v>580</v>
      </c>
    </row>
    <row r="545" spans="1:4" x14ac:dyDescent="0.45">
      <c r="A545" s="118" t="s">
        <v>876</v>
      </c>
      <c r="B545" s="118">
        <v>20</v>
      </c>
      <c r="C545" s="118" t="s">
        <v>983</v>
      </c>
      <c r="D545" s="118" t="s">
        <v>596</v>
      </c>
    </row>
    <row r="546" spans="1:4" x14ac:dyDescent="0.45">
      <c r="A546" s="118" t="s">
        <v>876</v>
      </c>
      <c r="B546" s="118">
        <v>180</v>
      </c>
      <c r="C546" s="118" t="s">
        <v>593</v>
      </c>
      <c r="D546" s="118" t="s">
        <v>580</v>
      </c>
    </row>
    <row r="547" spans="1:4" x14ac:dyDescent="0.45">
      <c r="A547" s="118" t="s">
        <v>876</v>
      </c>
      <c r="B547" s="118">
        <v>1000</v>
      </c>
      <c r="C547" s="118" t="s">
        <v>877</v>
      </c>
      <c r="D547" s="118" t="s">
        <v>599</v>
      </c>
    </row>
    <row r="548" spans="1:4" x14ac:dyDescent="0.45">
      <c r="A548" s="118" t="s">
        <v>876</v>
      </c>
      <c r="B548" s="118">
        <v>20</v>
      </c>
      <c r="C548" s="118" t="s">
        <v>984</v>
      </c>
      <c r="D548" s="118" t="s">
        <v>609</v>
      </c>
    </row>
    <row r="549" spans="1:4" x14ac:dyDescent="0.45">
      <c r="A549" s="118" t="s">
        <v>876</v>
      </c>
      <c r="B549" s="118">
        <v>20</v>
      </c>
      <c r="C549" s="118" t="s">
        <v>986</v>
      </c>
      <c r="D549" s="118" t="s">
        <v>609</v>
      </c>
    </row>
    <row r="550" spans="1:4" x14ac:dyDescent="0.45">
      <c r="A550" s="118" t="s">
        <v>876</v>
      </c>
      <c r="B550" s="118">
        <v>20</v>
      </c>
      <c r="C550" s="118" t="s">
        <v>1036</v>
      </c>
      <c r="D550" s="118" t="s">
        <v>582</v>
      </c>
    </row>
    <row r="551" spans="1:4" x14ac:dyDescent="0.45">
      <c r="A551" s="118" t="s">
        <v>878</v>
      </c>
      <c r="B551" s="118">
        <v>40</v>
      </c>
      <c r="C551" s="118" t="s">
        <v>984</v>
      </c>
      <c r="D551" s="118" t="s">
        <v>609</v>
      </c>
    </row>
    <row r="552" spans="1:4" x14ac:dyDescent="0.45">
      <c r="A552" s="118" t="s">
        <v>878</v>
      </c>
      <c r="B552" s="118">
        <v>60</v>
      </c>
      <c r="C552" s="118" t="s">
        <v>850</v>
      </c>
      <c r="D552" s="118" t="s">
        <v>580</v>
      </c>
    </row>
    <row r="553" spans="1:4" x14ac:dyDescent="0.45">
      <c r="A553" s="118" t="s">
        <v>956</v>
      </c>
    </row>
    <row r="554" spans="1:4" x14ac:dyDescent="0.45">
      <c r="A554" s="118" t="s">
        <v>879</v>
      </c>
      <c r="B554" s="118">
        <v>500</v>
      </c>
      <c r="C554" s="118" t="s">
        <v>880</v>
      </c>
      <c r="D554" s="118" t="s">
        <v>599</v>
      </c>
    </row>
    <row r="555" spans="1:4" x14ac:dyDescent="0.45">
      <c r="A555" s="118" t="s">
        <v>879</v>
      </c>
      <c r="B555" s="118">
        <v>50</v>
      </c>
      <c r="C555" s="118" t="s">
        <v>1060</v>
      </c>
      <c r="D555" s="118" t="s">
        <v>967</v>
      </c>
    </row>
    <row r="556" spans="1:4" x14ac:dyDescent="0.45">
      <c r="A556" s="118" t="s">
        <v>879</v>
      </c>
      <c r="B556" s="118">
        <v>50</v>
      </c>
      <c r="C556" s="118" t="s">
        <v>736</v>
      </c>
      <c r="D556" s="118" t="s">
        <v>580</v>
      </c>
    </row>
    <row r="557" spans="1:4" x14ac:dyDescent="0.45">
      <c r="A557" s="118" t="s">
        <v>879</v>
      </c>
      <c r="B557" s="118">
        <v>1500</v>
      </c>
      <c r="C557" s="118" t="s">
        <v>628</v>
      </c>
      <c r="D557" s="118" t="s">
        <v>629</v>
      </c>
    </row>
    <row r="558" spans="1:4" x14ac:dyDescent="0.45">
      <c r="A558" s="118" t="s">
        <v>879</v>
      </c>
      <c r="B558" s="118">
        <v>50</v>
      </c>
      <c r="C558" s="118" t="s">
        <v>584</v>
      </c>
      <c r="D558" s="118" t="s">
        <v>580</v>
      </c>
    </row>
    <row r="559" spans="1:4" x14ac:dyDescent="0.45">
      <c r="A559" s="118" t="s">
        <v>879</v>
      </c>
      <c r="B559" s="118">
        <v>25</v>
      </c>
      <c r="C559" s="118" t="s">
        <v>618</v>
      </c>
      <c r="D559" s="118" t="s">
        <v>580</v>
      </c>
    </row>
    <row r="560" spans="1:4" x14ac:dyDescent="0.45">
      <c r="A560" s="118" t="s">
        <v>879</v>
      </c>
      <c r="B560" s="118">
        <v>447</v>
      </c>
      <c r="C560" s="118" t="s">
        <v>579</v>
      </c>
      <c r="D560" s="118" t="s">
        <v>580</v>
      </c>
    </row>
    <row r="561" spans="1:4" x14ac:dyDescent="0.45">
      <c r="A561" s="118" t="s">
        <v>881</v>
      </c>
      <c r="B561" s="118">
        <v>131</v>
      </c>
      <c r="C561" s="118" t="s">
        <v>579</v>
      </c>
      <c r="D561" s="118" t="s">
        <v>580</v>
      </c>
    </row>
    <row r="562" spans="1:4" x14ac:dyDescent="0.45">
      <c r="A562" s="118" t="s">
        <v>881</v>
      </c>
      <c r="B562" s="118">
        <v>50</v>
      </c>
      <c r="C562" s="118" t="s">
        <v>1064</v>
      </c>
      <c r="D562" s="118" t="s">
        <v>959</v>
      </c>
    </row>
    <row r="563" spans="1:4" x14ac:dyDescent="0.45">
      <c r="A563" s="118" t="s">
        <v>881</v>
      </c>
      <c r="B563" s="118">
        <v>25</v>
      </c>
      <c r="C563" s="118" t="s">
        <v>826</v>
      </c>
      <c r="D563" s="118" t="s">
        <v>599</v>
      </c>
    </row>
    <row r="564" spans="1:4" x14ac:dyDescent="0.45">
      <c r="A564" s="118" t="s">
        <v>881</v>
      </c>
      <c r="B564" s="118">
        <v>50</v>
      </c>
      <c r="C564" s="118" t="s">
        <v>1065</v>
      </c>
      <c r="D564" s="118" t="s">
        <v>959</v>
      </c>
    </row>
    <row r="565" spans="1:4" x14ac:dyDescent="0.45">
      <c r="A565" s="118" t="s">
        <v>881</v>
      </c>
      <c r="B565" s="118">
        <v>30</v>
      </c>
      <c r="C565" s="118" t="s">
        <v>809</v>
      </c>
      <c r="D565" s="118" t="s">
        <v>580</v>
      </c>
    </row>
    <row r="566" spans="1:4" x14ac:dyDescent="0.45">
      <c r="A566" s="118" t="s">
        <v>882</v>
      </c>
      <c r="B566" s="118">
        <v>610</v>
      </c>
      <c r="C566" s="118" t="s">
        <v>579</v>
      </c>
      <c r="D566" s="118" t="s">
        <v>580</v>
      </c>
    </row>
    <row r="567" spans="1:4" x14ac:dyDescent="0.45">
      <c r="A567" s="118" t="s">
        <v>882</v>
      </c>
      <c r="B567" s="118">
        <v>25</v>
      </c>
      <c r="C567" s="118" t="s">
        <v>584</v>
      </c>
      <c r="D567" s="118" t="s">
        <v>587</v>
      </c>
    </row>
    <row r="568" spans="1:4" x14ac:dyDescent="0.45">
      <c r="A568" s="118" t="s">
        <v>882</v>
      </c>
      <c r="B568" s="118">
        <v>150</v>
      </c>
      <c r="C568" s="118" t="s">
        <v>583</v>
      </c>
      <c r="D568" s="118" t="s">
        <v>586</v>
      </c>
    </row>
    <row r="569" spans="1:4" x14ac:dyDescent="0.45">
      <c r="A569" s="118" t="s">
        <v>882</v>
      </c>
      <c r="B569" s="118">
        <v>100</v>
      </c>
      <c r="C569" s="118" t="s">
        <v>581</v>
      </c>
      <c r="D569" s="118" t="s">
        <v>585</v>
      </c>
    </row>
    <row r="570" spans="1:4" x14ac:dyDescent="0.45">
      <c r="A570" s="118" t="s">
        <v>882</v>
      </c>
      <c r="B570" s="118">
        <v>400</v>
      </c>
      <c r="C570" s="118" t="s">
        <v>1066</v>
      </c>
      <c r="D570" s="118" t="s">
        <v>582</v>
      </c>
    </row>
    <row r="571" spans="1:4" x14ac:dyDescent="0.45">
      <c r="A571" s="118" t="s">
        <v>882</v>
      </c>
      <c r="B571" s="118">
        <v>30</v>
      </c>
      <c r="C571" s="118" t="s">
        <v>593</v>
      </c>
      <c r="D571" s="118" t="s">
        <v>595</v>
      </c>
    </row>
    <row r="572" spans="1:4" x14ac:dyDescent="0.45">
      <c r="A572" s="118" t="s">
        <v>883</v>
      </c>
      <c r="B572" s="118">
        <v>225</v>
      </c>
      <c r="C572" s="118" t="s">
        <v>1065</v>
      </c>
      <c r="D572" s="118" t="s">
        <v>580</v>
      </c>
    </row>
    <row r="573" spans="1:4" x14ac:dyDescent="0.45">
      <c r="A573" s="118" t="s">
        <v>883</v>
      </c>
      <c r="B573" s="118">
        <v>886</v>
      </c>
      <c r="C573" s="118" t="s">
        <v>601</v>
      </c>
      <c r="D573" s="118" t="s">
        <v>580</v>
      </c>
    </row>
    <row r="574" spans="1:4" x14ac:dyDescent="0.45">
      <c r="A574" s="118" t="s">
        <v>884</v>
      </c>
      <c r="B574" s="118">
        <v>100</v>
      </c>
      <c r="C574" s="118" t="s">
        <v>1065</v>
      </c>
      <c r="D574" s="118" t="s">
        <v>580</v>
      </c>
    </row>
    <row r="575" spans="1:4" x14ac:dyDescent="0.45">
      <c r="A575" s="118" t="s">
        <v>884</v>
      </c>
      <c r="B575" s="118">
        <v>40</v>
      </c>
      <c r="C575" s="118" t="s">
        <v>983</v>
      </c>
      <c r="D575" s="118" t="s">
        <v>596</v>
      </c>
    </row>
    <row r="576" spans="1:4" x14ac:dyDescent="0.45">
      <c r="A576" s="118" t="s">
        <v>884</v>
      </c>
      <c r="B576" s="118">
        <v>153</v>
      </c>
      <c r="C576" s="118" t="s">
        <v>579</v>
      </c>
      <c r="D576" s="118" t="s">
        <v>580</v>
      </c>
    </row>
    <row r="577" spans="1:4" x14ac:dyDescent="0.45">
      <c r="A577" s="118" t="s">
        <v>884</v>
      </c>
      <c r="B577" s="118">
        <v>20</v>
      </c>
      <c r="C577" s="118" t="s">
        <v>985</v>
      </c>
      <c r="D577" s="118" t="s">
        <v>608</v>
      </c>
    </row>
    <row r="578" spans="1:4" x14ac:dyDescent="0.45">
      <c r="A578" s="118" t="s">
        <v>884</v>
      </c>
      <c r="B578" s="118">
        <v>20</v>
      </c>
      <c r="C578" s="118" t="s">
        <v>986</v>
      </c>
      <c r="D578" s="118" t="s">
        <v>609</v>
      </c>
    </row>
    <row r="579" spans="1:4" x14ac:dyDescent="0.45">
      <c r="A579" s="118" t="s">
        <v>884</v>
      </c>
      <c r="B579" s="118">
        <v>50</v>
      </c>
      <c r="C579" s="118" t="s">
        <v>583</v>
      </c>
      <c r="D579" s="118" t="s">
        <v>586</v>
      </c>
    </row>
    <row r="580" spans="1:4" x14ac:dyDescent="0.45">
      <c r="A580" s="118" t="s">
        <v>884</v>
      </c>
      <c r="B580" s="118">
        <v>25</v>
      </c>
      <c r="C580" s="118" t="s">
        <v>805</v>
      </c>
      <c r="D580" s="118" t="s">
        <v>595</v>
      </c>
    </row>
    <row r="581" spans="1:4" x14ac:dyDescent="0.45">
      <c r="A581" s="118" t="s">
        <v>960</v>
      </c>
      <c r="B581" s="118">
        <v>25</v>
      </c>
      <c r="C581" s="118" t="s">
        <v>961</v>
      </c>
      <c r="D581" s="118" t="s">
        <v>608</v>
      </c>
    </row>
    <row r="582" spans="1:4" x14ac:dyDescent="0.45">
      <c r="A582" s="118" t="s">
        <v>960</v>
      </c>
      <c r="B582" s="118">
        <v>130</v>
      </c>
      <c r="C582" s="118" t="s">
        <v>579</v>
      </c>
      <c r="D582" s="118" t="s">
        <v>580</v>
      </c>
    </row>
    <row r="583" spans="1:4" x14ac:dyDescent="0.45">
      <c r="A583" s="118" t="s">
        <v>960</v>
      </c>
      <c r="B583" s="118">
        <v>55</v>
      </c>
      <c r="C583" s="118" t="s">
        <v>798</v>
      </c>
      <c r="D583" s="118" t="s">
        <v>580</v>
      </c>
    </row>
    <row r="584" spans="1:4" x14ac:dyDescent="0.45">
      <c r="A584" s="118" t="s">
        <v>960</v>
      </c>
      <c r="B584" s="118">
        <v>50</v>
      </c>
      <c r="C584" s="118" t="s">
        <v>584</v>
      </c>
      <c r="D584" s="118" t="s">
        <v>580</v>
      </c>
    </row>
    <row r="585" spans="1:4" x14ac:dyDescent="0.45">
      <c r="A585" s="118" t="s">
        <v>885</v>
      </c>
      <c r="B585" s="118">
        <v>75</v>
      </c>
      <c r="C585" s="118" t="s">
        <v>1064</v>
      </c>
      <c r="D585" s="118" t="s">
        <v>580</v>
      </c>
    </row>
    <row r="586" spans="1:4" x14ac:dyDescent="0.45">
      <c r="A586" s="118" t="s">
        <v>885</v>
      </c>
      <c r="B586" s="118">
        <v>55</v>
      </c>
      <c r="C586" s="118" t="s">
        <v>805</v>
      </c>
      <c r="D586" s="118" t="s">
        <v>580</v>
      </c>
    </row>
    <row r="587" spans="1:4" x14ac:dyDescent="0.45">
      <c r="A587" s="118" t="s">
        <v>886</v>
      </c>
      <c r="B587" s="118">
        <v>50</v>
      </c>
      <c r="C587" s="118" t="s">
        <v>583</v>
      </c>
      <c r="D587" s="118" t="s">
        <v>586</v>
      </c>
    </row>
    <row r="588" spans="1:4" x14ac:dyDescent="0.45">
      <c r="A588" s="118" t="s">
        <v>886</v>
      </c>
      <c r="B588" s="118">
        <v>50</v>
      </c>
      <c r="C588" s="118" t="s">
        <v>584</v>
      </c>
      <c r="D588" s="118" t="s">
        <v>587</v>
      </c>
    </row>
    <row r="589" spans="1:4" x14ac:dyDescent="0.45">
      <c r="A589" s="118" t="s">
        <v>886</v>
      </c>
      <c r="B589" s="118">
        <v>1500</v>
      </c>
      <c r="C589" s="118" t="s">
        <v>887</v>
      </c>
      <c r="D589" s="118" t="s">
        <v>580</v>
      </c>
    </row>
    <row r="590" spans="1:4" x14ac:dyDescent="0.45">
      <c r="A590" s="118" t="s">
        <v>886</v>
      </c>
      <c r="B590" s="118">
        <v>60</v>
      </c>
      <c r="C590" s="118" t="s">
        <v>986</v>
      </c>
      <c r="D590" s="118" t="s">
        <v>609</v>
      </c>
    </row>
    <row r="591" spans="1:4" x14ac:dyDescent="0.45">
      <c r="A591" s="118" t="s">
        <v>886</v>
      </c>
      <c r="B591" s="118">
        <v>20</v>
      </c>
      <c r="C591" s="118" t="s">
        <v>1036</v>
      </c>
      <c r="D591" s="118" t="s">
        <v>582</v>
      </c>
    </row>
    <row r="592" spans="1:4" x14ac:dyDescent="0.45">
      <c r="A592" s="118" t="s">
        <v>888</v>
      </c>
      <c r="B592" s="118">
        <v>100</v>
      </c>
      <c r="C592" s="118" t="s">
        <v>584</v>
      </c>
      <c r="D592" s="118" t="s">
        <v>580</v>
      </c>
    </row>
    <row r="593" spans="1:5" x14ac:dyDescent="0.45">
      <c r="A593" s="118" t="s">
        <v>888</v>
      </c>
      <c r="B593" s="118">
        <v>60</v>
      </c>
      <c r="C593" s="118" t="s">
        <v>809</v>
      </c>
      <c r="D593" s="118" t="s">
        <v>580</v>
      </c>
    </row>
    <row r="594" spans="1:5" x14ac:dyDescent="0.45">
      <c r="A594" s="118" t="s">
        <v>888</v>
      </c>
      <c r="B594" s="118">
        <v>75</v>
      </c>
      <c r="C594" s="118" t="s">
        <v>1064</v>
      </c>
      <c r="D594" s="118" t="s">
        <v>959</v>
      </c>
    </row>
    <row r="595" spans="1:5" x14ac:dyDescent="0.45">
      <c r="A595" s="118" t="s">
        <v>888</v>
      </c>
      <c r="B595" s="118">
        <v>225</v>
      </c>
      <c r="C595" s="118" t="s">
        <v>1065</v>
      </c>
      <c r="D595" s="118" t="s">
        <v>959</v>
      </c>
    </row>
    <row r="596" spans="1:5" x14ac:dyDescent="0.45">
      <c r="A596" s="118" t="s">
        <v>889</v>
      </c>
      <c r="B596" s="118">
        <v>75</v>
      </c>
      <c r="C596" s="118" t="s">
        <v>1065</v>
      </c>
      <c r="D596" s="118" t="s">
        <v>580</v>
      </c>
    </row>
    <row r="597" spans="1:5" x14ac:dyDescent="0.45">
      <c r="A597" s="118" t="s">
        <v>889</v>
      </c>
      <c r="B597" s="118">
        <v>40</v>
      </c>
      <c r="C597" s="118" t="s">
        <v>983</v>
      </c>
      <c r="D597" s="118" t="s">
        <v>596</v>
      </c>
    </row>
    <row r="598" spans="1:5" x14ac:dyDescent="0.45">
      <c r="A598" s="118" t="s">
        <v>889</v>
      </c>
      <c r="B598" s="118">
        <v>30</v>
      </c>
      <c r="C598" s="118" t="s">
        <v>809</v>
      </c>
      <c r="D598" s="118" t="s">
        <v>580</v>
      </c>
    </row>
    <row r="599" spans="1:5" x14ac:dyDescent="0.45">
      <c r="A599" s="118" t="s">
        <v>890</v>
      </c>
      <c r="B599" s="118">
        <v>20</v>
      </c>
      <c r="C599" s="118" t="s">
        <v>986</v>
      </c>
      <c r="D599" s="118" t="s">
        <v>609</v>
      </c>
    </row>
    <row r="600" spans="1:5" x14ac:dyDescent="0.45">
      <c r="A600" s="118" t="s">
        <v>890</v>
      </c>
      <c r="B600" s="118">
        <v>54</v>
      </c>
      <c r="C600" s="118" t="s">
        <v>809</v>
      </c>
      <c r="D600" s="118" t="s">
        <v>580</v>
      </c>
      <c r="E600" s="118" t="s">
        <v>891</v>
      </c>
    </row>
    <row r="601" spans="1:5" x14ac:dyDescent="0.45">
      <c r="A601" s="118" t="s">
        <v>890</v>
      </c>
      <c r="B601" s="118">
        <v>50</v>
      </c>
      <c r="C601" s="118" t="s">
        <v>736</v>
      </c>
      <c r="D601" s="118" t="s">
        <v>580</v>
      </c>
    </row>
    <row r="602" spans="1:5" x14ac:dyDescent="0.45">
      <c r="A602" s="118" t="s">
        <v>890</v>
      </c>
      <c r="B602" s="118">
        <v>25</v>
      </c>
      <c r="C602" s="118" t="s">
        <v>1067</v>
      </c>
      <c r="D602" s="118" t="s">
        <v>959</v>
      </c>
    </row>
    <row r="603" spans="1:5" x14ac:dyDescent="0.45">
      <c r="A603" s="118" t="s">
        <v>890</v>
      </c>
      <c r="B603" s="118">
        <v>50</v>
      </c>
      <c r="C603" s="118" t="s">
        <v>583</v>
      </c>
      <c r="D603" s="118" t="s">
        <v>580</v>
      </c>
    </row>
    <row r="604" spans="1:5" x14ac:dyDescent="0.45">
      <c r="A604" s="118" t="s">
        <v>892</v>
      </c>
      <c r="B604" s="118">
        <v>25</v>
      </c>
      <c r="C604" s="118" t="s">
        <v>1068</v>
      </c>
      <c r="D604" s="118" t="s">
        <v>580</v>
      </c>
    </row>
    <row r="605" spans="1:5" x14ac:dyDescent="0.45">
      <c r="A605" s="118" t="s">
        <v>892</v>
      </c>
      <c r="B605" s="118">
        <v>50</v>
      </c>
      <c r="C605" s="118" t="s">
        <v>1065</v>
      </c>
      <c r="D605" s="118" t="s">
        <v>580</v>
      </c>
    </row>
    <row r="606" spans="1:5" x14ac:dyDescent="0.45">
      <c r="A606" s="118" t="s">
        <v>892</v>
      </c>
      <c r="B606" s="118">
        <v>620</v>
      </c>
      <c r="C606" s="118" t="s">
        <v>893</v>
      </c>
      <c r="D606" s="118" t="s">
        <v>580</v>
      </c>
    </row>
    <row r="607" spans="1:5" x14ac:dyDescent="0.45">
      <c r="A607" s="118" t="s">
        <v>892</v>
      </c>
      <c r="B607" s="118">
        <v>100</v>
      </c>
      <c r="C607" s="118" t="s">
        <v>894</v>
      </c>
      <c r="D607" s="118" t="s">
        <v>580</v>
      </c>
    </row>
    <row r="608" spans="1:5" x14ac:dyDescent="0.45">
      <c r="A608" s="118" t="s">
        <v>892</v>
      </c>
      <c r="B608" s="118">
        <v>30</v>
      </c>
      <c r="C608" s="118" t="s">
        <v>895</v>
      </c>
      <c r="D608" s="118" t="s">
        <v>580</v>
      </c>
    </row>
    <row r="609" spans="1:4" x14ac:dyDescent="0.45">
      <c r="A609" s="118" t="s">
        <v>896</v>
      </c>
      <c r="B609" s="118">
        <v>20</v>
      </c>
      <c r="C609" s="118" t="s">
        <v>986</v>
      </c>
      <c r="D609" s="118" t="s">
        <v>609</v>
      </c>
    </row>
    <row r="610" spans="1:4" x14ac:dyDescent="0.45">
      <c r="A610" s="118" t="s">
        <v>896</v>
      </c>
      <c r="B610" s="118">
        <v>60</v>
      </c>
      <c r="C610" s="118" t="s">
        <v>1036</v>
      </c>
      <c r="D610" s="118" t="s">
        <v>582</v>
      </c>
    </row>
    <row r="611" spans="1:4" x14ac:dyDescent="0.45">
      <c r="A611" s="118" t="s">
        <v>896</v>
      </c>
      <c r="B611" s="118">
        <v>60</v>
      </c>
      <c r="C611" s="118" t="s">
        <v>897</v>
      </c>
      <c r="D611" s="118" t="s">
        <v>595</v>
      </c>
    </row>
    <row r="612" spans="1:4" x14ac:dyDescent="0.45">
      <c r="A612" s="118" t="s">
        <v>896</v>
      </c>
      <c r="B612" s="118">
        <v>50</v>
      </c>
      <c r="C612" s="118" t="s">
        <v>584</v>
      </c>
      <c r="D612" s="118" t="s">
        <v>587</v>
      </c>
    </row>
    <row r="613" spans="1:4" x14ac:dyDescent="0.45">
      <c r="A613" s="118" t="s">
        <v>896</v>
      </c>
      <c r="B613" s="118">
        <v>25</v>
      </c>
      <c r="C613" s="118" t="s">
        <v>618</v>
      </c>
      <c r="D613" s="118" t="s">
        <v>586</v>
      </c>
    </row>
    <row r="614" spans="1:4" x14ac:dyDescent="0.45">
      <c r="A614" s="118" t="s">
        <v>898</v>
      </c>
      <c r="B614" s="118">
        <v>25</v>
      </c>
      <c r="C614" s="118" t="s">
        <v>584</v>
      </c>
      <c r="D614" s="118" t="s">
        <v>580</v>
      </c>
    </row>
    <row r="615" spans="1:4" x14ac:dyDescent="0.45">
      <c r="A615" s="118" t="s">
        <v>898</v>
      </c>
      <c r="B615" s="118">
        <v>225</v>
      </c>
      <c r="C615" s="118" t="s">
        <v>584</v>
      </c>
      <c r="D615" s="118" t="s">
        <v>580</v>
      </c>
    </row>
    <row r="616" spans="1:4" x14ac:dyDescent="0.45">
      <c r="A616" s="118" t="s">
        <v>898</v>
      </c>
      <c r="B616" s="118">
        <v>325</v>
      </c>
      <c r="C616" s="118" t="s">
        <v>1065</v>
      </c>
      <c r="D616" s="118" t="s">
        <v>959</v>
      </c>
    </row>
    <row r="617" spans="1:4" x14ac:dyDescent="0.45">
      <c r="A617" s="118" t="s">
        <v>898</v>
      </c>
      <c r="B617" s="118">
        <v>28</v>
      </c>
      <c r="C617" s="118" t="s">
        <v>579</v>
      </c>
      <c r="D617" s="118" t="s">
        <v>580</v>
      </c>
    </row>
    <row r="618" spans="1:4" x14ac:dyDescent="0.45">
      <c r="A618" s="118" t="s">
        <v>898</v>
      </c>
      <c r="B618" s="118">
        <v>180</v>
      </c>
      <c r="C618" s="118" t="s">
        <v>798</v>
      </c>
      <c r="D618" s="118" t="s">
        <v>580</v>
      </c>
    </row>
    <row r="619" spans="1:4" x14ac:dyDescent="0.45">
      <c r="A619" s="118" t="s">
        <v>898</v>
      </c>
      <c r="B619" s="118">
        <v>140</v>
      </c>
      <c r="C619" s="118" t="s">
        <v>986</v>
      </c>
      <c r="D619" s="118" t="s">
        <v>609</v>
      </c>
    </row>
    <row r="620" spans="1:4" x14ac:dyDescent="0.45">
      <c r="A620" s="118" t="s">
        <v>898</v>
      </c>
      <c r="B620" s="118">
        <v>150</v>
      </c>
      <c r="C620" s="118" t="s">
        <v>581</v>
      </c>
      <c r="D620" s="118" t="s">
        <v>580</v>
      </c>
    </row>
    <row r="621" spans="1:4" x14ac:dyDescent="0.45">
      <c r="A621" s="118" t="s">
        <v>898</v>
      </c>
      <c r="B621" s="118">
        <v>50</v>
      </c>
      <c r="C621" s="118" t="s">
        <v>583</v>
      </c>
      <c r="D621" s="118" t="s">
        <v>580</v>
      </c>
    </row>
    <row r="622" spans="1:4" x14ac:dyDescent="0.45">
      <c r="A622" s="118" t="s">
        <v>898</v>
      </c>
      <c r="B622" s="118">
        <v>100</v>
      </c>
      <c r="C622" s="118" t="s">
        <v>650</v>
      </c>
      <c r="D622" s="118" t="s">
        <v>582</v>
      </c>
    </row>
    <row r="623" spans="1:4" x14ac:dyDescent="0.45">
      <c r="A623" s="118" t="s">
        <v>898</v>
      </c>
      <c r="B623" s="118">
        <v>120</v>
      </c>
      <c r="C623" s="118" t="s">
        <v>651</v>
      </c>
      <c r="D623" s="118" t="s">
        <v>582</v>
      </c>
    </row>
    <row r="624" spans="1:4" x14ac:dyDescent="0.45">
      <c r="A624" s="118" t="s">
        <v>898</v>
      </c>
      <c r="B624" s="118">
        <v>620</v>
      </c>
      <c r="C624" s="118" t="s">
        <v>649</v>
      </c>
      <c r="D624" s="118" t="s">
        <v>582</v>
      </c>
    </row>
    <row r="625" spans="1:4" x14ac:dyDescent="0.45">
      <c r="A625" s="118" t="s">
        <v>898</v>
      </c>
      <c r="B625" s="118">
        <v>50</v>
      </c>
      <c r="C625" s="118" t="s">
        <v>652</v>
      </c>
      <c r="D625" s="118" t="s">
        <v>582</v>
      </c>
    </row>
    <row r="626" spans="1:4" x14ac:dyDescent="0.45">
      <c r="A626" s="118" t="s">
        <v>899</v>
      </c>
      <c r="B626" s="118">
        <v>50</v>
      </c>
      <c r="C626" s="118" t="s">
        <v>1069</v>
      </c>
      <c r="D626" s="118" t="s">
        <v>580</v>
      </c>
    </row>
    <row r="627" spans="1:4" x14ac:dyDescent="0.45">
      <c r="A627" s="118" t="s">
        <v>899</v>
      </c>
      <c r="B627" s="118">
        <v>243</v>
      </c>
      <c r="C627" s="118" t="s">
        <v>579</v>
      </c>
      <c r="D627" s="118" t="s">
        <v>580</v>
      </c>
    </row>
    <row r="628" spans="1:4" x14ac:dyDescent="0.45">
      <c r="A628" s="118" t="s">
        <v>899</v>
      </c>
      <c r="B628" s="118">
        <v>100</v>
      </c>
      <c r="C628" s="118" t="s">
        <v>584</v>
      </c>
      <c r="D628" s="118" t="s">
        <v>580</v>
      </c>
    </row>
    <row r="629" spans="1:4" x14ac:dyDescent="0.45">
      <c r="A629" s="118" t="s">
        <v>899</v>
      </c>
      <c r="B629" s="118">
        <v>30</v>
      </c>
      <c r="C629" s="118" t="s">
        <v>593</v>
      </c>
      <c r="D629" s="118" t="s">
        <v>580</v>
      </c>
    </row>
    <row r="630" spans="1:4" x14ac:dyDescent="0.45">
      <c r="A630" s="118" t="s">
        <v>900</v>
      </c>
    </row>
    <row r="631" spans="1:4" x14ac:dyDescent="0.45">
      <c r="A631" s="118" t="s">
        <v>492</v>
      </c>
      <c r="B631" s="118">
        <v>90</v>
      </c>
      <c r="C631" s="118" t="s">
        <v>648</v>
      </c>
      <c r="D631" s="118" t="s">
        <v>595</v>
      </c>
    </row>
    <row r="632" spans="1:4" x14ac:dyDescent="0.45">
      <c r="A632" s="118" t="s">
        <v>492</v>
      </c>
      <c r="B632" s="118">
        <v>25</v>
      </c>
      <c r="C632" s="118" t="s">
        <v>660</v>
      </c>
      <c r="D632" s="118" t="s">
        <v>582</v>
      </c>
    </row>
    <row r="633" spans="1:4" x14ac:dyDescent="0.45">
      <c r="A633" s="118" t="s">
        <v>492</v>
      </c>
      <c r="B633" s="118">
        <v>20</v>
      </c>
      <c r="C633" s="118" t="s">
        <v>986</v>
      </c>
      <c r="D633" s="118" t="s">
        <v>609</v>
      </c>
    </row>
    <row r="634" spans="1:4" x14ac:dyDescent="0.45">
      <c r="A634" s="118" t="s">
        <v>492</v>
      </c>
      <c r="B634" s="118">
        <v>50</v>
      </c>
      <c r="C634" s="118" t="s">
        <v>583</v>
      </c>
      <c r="D634" s="118" t="s">
        <v>586</v>
      </c>
    </row>
    <row r="635" spans="1:4" x14ac:dyDescent="0.45">
      <c r="A635" s="118" t="s">
        <v>492</v>
      </c>
      <c r="B635" s="118">
        <v>25</v>
      </c>
      <c r="C635" s="118" t="s">
        <v>826</v>
      </c>
      <c r="D635" s="118" t="s">
        <v>599</v>
      </c>
    </row>
    <row r="636" spans="1:4" x14ac:dyDescent="0.45">
      <c r="A636" s="118" t="s">
        <v>492</v>
      </c>
      <c r="B636" s="118">
        <v>25</v>
      </c>
      <c r="C636" s="118" t="s">
        <v>901</v>
      </c>
      <c r="D636" s="118" t="s">
        <v>962</v>
      </c>
    </row>
    <row r="637" spans="1:4" x14ac:dyDescent="0.45">
      <c r="A637" s="118" t="s">
        <v>492</v>
      </c>
      <c r="B637" s="118">
        <v>100</v>
      </c>
      <c r="C637" s="118" t="s">
        <v>1070</v>
      </c>
      <c r="D637" s="118" t="s">
        <v>582</v>
      </c>
    </row>
    <row r="638" spans="1:4" x14ac:dyDescent="0.45">
      <c r="A638" s="118" t="s">
        <v>902</v>
      </c>
      <c r="B638" s="118">
        <v>100</v>
      </c>
      <c r="C638" s="118" t="s">
        <v>1065</v>
      </c>
      <c r="D638" s="118" t="s">
        <v>580</v>
      </c>
    </row>
    <row r="639" spans="1:4" x14ac:dyDescent="0.45">
      <c r="A639" s="118" t="s">
        <v>903</v>
      </c>
      <c r="B639" s="118">
        <v>50</v>
      </c>
      <c r="C639" s="118" t="s">
        <v>963</v>
      </c>
      <c r="D639" s="118" t="s">
        <v>595</v>
      </c>
    </row>
    <row r="640" spans="1:4" x14ac:dyDescent="0.45">
      <c r="A640" s="118" t="s">
        <v>903</v>
      </c>
      <c r="B640" s="118">
        <v>20</v>
      </c>
      <c r="C640" s="118" t="s">
        <v>1071</v>
      </c>
      <c r="D640" s="118" t="s">
        <v>596</v>
      </c>
    </row>
    <row r="641" spans="1:4" x14ac:dyDescent="0.45">
      <c r="A641" s="118" t="s">
        <v>903</v>
      </c>
      <c r="B641" s="118">
        <v>50</v>
      </c>
      <c r="C641" s="118" t="s">
        <v>682</v>
      </c>
      <c r="D641" s="118" t="s">
        <v>582</v>
      </c>
    </row>
    <row r="642" spans="1:4" x14ac:dyDescent="0.45">
      <c r="A642" s="118" t="s">
        <v>904</v>
      </c>
      <c r="B642" s="118">
        <v>50</v>
      </c>
      <c r="C642" s="118" t="s">
        <v>1065</v>
      </c>
      <c r="D642" s="118" t="s">
        <v>580</v>
      </c>
    </row>
    <row r="643" spans="1:4" x14ac:dyDescent="0.45">
      <c r="A643" s="118" t="s">
        <v>904</v>
      </c>
      <c r="B643" s="118">
        <v>155</v>
      </c>
      <c r="C643" s="118" t="s">
        <v>579</v>
      </c>
      <c r="D643" s="118" t="s">
        <v>580</v>
      </c>
    </row>
    <row r="644" spans="1:4" x14ac:dyDescent="0.45">
      <c r="A644" s="118" t="s">
        <v>904</v>
      </c>
      <c r="B644" s="118">
        <v>25</v>
      </c>
      <c r="C644" s="118" t="s">
        <v>660</v>
      </c>
      <c r="D644" s="118" t="s">
        <v>582</v>
      </c>
    </row>
    <row r="645" spans="1:4" x14ac:dyDescent="0.45">
      <c r="A645" s="118" t="s">
        <v>905</v>
      </c>
      <c r="B645" s="118">
        <v>75</v>
      </c>
      <c r="C645" s="118" t="s">
        <v>906</v>
      </c>
      <c r="D645" s="118" t="s">
        <v>580</v>
      </c>
    </row>
    <row r="646" spans="1:4" x14ac:dyDescent="0.45">
      <c r="A646" s="118" t="s">
        <v>905</v>
      </c>
      <c r="B646" s="118">
        <v>75</v>
      </c>
      <c r="C646" s="118" t="s">
        <v>1072</v>
      </c>
      <c r="D646" s="118" t="s">
        <v>580</v>
      </c>
    </row>
    <row r="647" spans="1:4" x14ac:dyDescent="0.45">
      <c r="A647" s="118" t="s">
        <v>905</v>
      </c>
      <c r="B647" s="118">
        <v>50</v>
      </c>
      <c r="C647" s="118" t="s">
        <v>1073</v>
      </c>
      <c r="D647" s="118" t="s">
        <v>580</v>
      </c>
    </row>
    <row r="648" spans="1:4" x14ac:dyDescent="0.45">
      <c r="A648" s="118" t="s">
        <v>905</v>
      </c>
      <c r="B648" s="118">
        <v>500</v>
      </c>
      <c r="C648" s="118" t="s">
        <v>598</v>
      </c>
      <c r="D648" s="118" t="s">
        <v>599</v>
      </c>
    </row>
    <row r="649" spans="1:4" x14ac:dyDescent="0.45">
      <c r="A649" s="118" t="s">
        <v>907</v>
      </c>
      <c r="B649" s="118">
        <v>40</v>
      </c>
      <c r="C649" s="118" t="s">
        <v>987</v>
      </c>
      <c r="D649" s="118" t="s">
        <v>596</v>
      </c>
    </row>
    <row r="650" spans="1:4" x14ac:dyDescent="0.45">
      <c r="A650" s="118" t="s">
        <v>907</v>
      </c>
      <c r="B650" s="118">
        <v>75</v>
      </c>
      <c r="C650" s="118" t="s">
        <v>583</v>
      </c>
      <c r="D650" s="118" t="s">
        <v>586</v>
      </c>
    </row>
    <row r="651" spans="1:4" x14ac:dyDescent="0.45">
      <c r="A651" s="118" t="s">
        <v>485</v>
      </c>
      <c r="B651" s="118">
        <v>447</v>
      </c>
      <c r="C651" s="118" t="s">
        <v>908</v>
      </c>
      <c r="D651" s="118" t="s">
        <v>580</v>
      </c>
    </row>
    <row r="652" spans="1:4" x14ac:dyDescent="0.45">
      <c r="A652" s="118" t="s">
        <v>493</v>
      </c>
      <c r="B652" s="118">
        <v>25</v>
      </c>
      <c r="C652" s="118" t="s">
        <v>909</v>
      </c>
      <c r="D652" s="118" t="s">
        <v>586</v>
      </c>
    </row>
    <row r="653" spans="1:4" x14ac:dyDescent="0.45">
      <c r="A653" s="118" t="s">
        <v>493</v>
      </c>
      <c r="B653" s="118">
        <v>50</v>
      </c>
      <c r="C653" s="118" t="s">
        <v>1074</v>
      </c>
      <c r="D653" s="118" t="s">
        <v>959</v>
      </c>
    </row>
    <row r="654" spans="1:4" x14ac:dyDescent="0.45">
      <c r="A654" s="118" t="s">
        <v>493</v>
      </c>
      <c r="B654" s="118">
        <v>20</v>
      </c>
      <c r="C654" s="118" t="s">
        <v>1036</v>
      </c>
      <c r="D654" s="118" t="s">
        <v>582</v>
      </c>
    </row>
    <row r="655" spans="1:4" x14ac:dyDescent="0.45">
      <c r="A655" s="118" t="s">
        <v>493</v>
      </c>
      <c r="B655" s="118">
        <v>100</v>
      </c>
      <c r="C655" s="118" t="s">
        <v>581</v>
      </c>
      <c r="D655" s="118" t="s">
        <v>585</v>
      </c>
    </row>
    <row r="656" spans="1:4" x14ac:dyDescent="0.45">
      <c r="A656" s="118" t="s">
        <v>493</v>
      </c>
      <c r="B656" s="118">
        <v>150</v>
      </c>
      <c r="C656" s="118" t="s">
        <v>910</v>
      </c>
      <c r="D656" s="118" t="s">
        <v>861</v>
      </c>
    </row>
    <row r="657" spans="1:4" x14ac:dyDescent="0.45">
      <c r="A657" s="118" t="s">
        <v>493</v>
      </c>
      <c r="B657" s="118">
        <v>50</v>
      </c>
      <c r="C657" s="118" t="s">
        <v>906</v>
      </c>
      <c r="D657" s="118" t="s">
        <v>858</v>
      </c>
    </row>
    <row r="658" spans="1:4" x14ac:dyDescent="0.45">
      <c r="A658" s="118" t="s">
        <v>493</v>
      </c>
      <c r="B658" s="118">
        <v>25</v>
      </c>
      <c r="C658" s="118" t="s">
        <v>911</v>
      </c>
      <c r="D658" s="118" t="s">
        <v>857</v>
      </c>
    </row>
    <row r="659" spans="1:4" x14ac:dyDescent="0.45">
      <c r="A659" s="118" t="s">
        <v>912</v>
      </c>
      <c r="B659" s="118">
        <v>50</v>
      </c>
      <c r="C659" s="118" t="s">
        <v>1064</v>
      </c>
      <c r="D659" s="118" t="s">
        <v>580</v>
      </c>
    </row>
    <row r="660" spans="1:4" x14ac:dyDescent="0.45">
      <c r="A660" s="118" t="s">
        <v>912</v>
      </c>
      <c r="B660" s="118">
        <v>100</v>
      </c>
      <c r="C660" s="118" t="s">
        <v>581</v>
      </c>
      <c r="D660" s="118" t="s">
        <v>580</v>
      </c>
    </row>
    <row r="661" spans="1:4" x14ac:dyDescent="0.45">
      <c r="A661" s="118" t="s">
        <v>913</v>
      </c>
      <c r="B661" s="118">
        <v>75</v>
      </c>
      <c r="C661" s="118" t="s">
        <v>584</v>
      </c>
      <c r="D661" s="118" t="s">
        <v>580</v>
      </c>
    </row>
    <row r="662" spans="1:4" x14ac:dyDescent="0.45">
      <c r="A662" s="118" t="s">
        <v>913</v>
      </c>
      <c r="B662" s="118">
        <v>40</v>
      </c>
      <c r="C662" s="118" t="s">
        <v>1063</v>
      </c>
      <c r="D662" s="118" t="s">
        <v>582</v>
      </c>
    </row>
    <row r="663" spans="1:4" x14ac:dyDescent="0.45">
      <c r="A663" s="118" t="s">
        <v>913</v>
      </c>
      <c r="B663" s="118">
        <v>25</v>
      </c>
      <c r="C663" s="118" t="s">
        <v>660</v>
      </c>
      <c r="D663" s="118" t="s">
        <v>582</v>
      </c>
    </row>
    <row r="664" spans="1:4" x14ac:dyDescent="0.45">
      <c r="A664" s="118" t="s">
        <v>913</v>
      </c>
      <c r="B664" s="118">
        <v>20</v>
      </c>
      <c r="C664" s="118" t="s">
        <v>986</v>
      </c>
      <c r="D664" s="118" t="s">
        <v>609</v>
      </c>
    </row>
    <row r="665" spans="1:4" x14ac:dyDescent="0.45">
      <c r="A665" s="118" t="s">
        <v>913</v>
      </c>
      <c r="B665" s="118">
        <v>20</v>
      </c>
      <c r="C665" s="118" t="s">
        <v>983</v>
      </c>
      <c r="D665" s="118" t="s">
        <v>596</v>
      </c>
    </row>
    <row r="666" spans="1:4" x14ac:dyDescent="0.45">
      <c r="A666" s="118" t="s">
        <v>914</v>
      </c>
      <c r="B666" s="118">
        <v>150</v>
      </c>
      <c r="C666" s="118" t="s">
        <v>1075</v>
      </c>
      <c r="D666" s="118" t="s">
        <v>959</v>
      </c>
    </row>
    <row r="667" spans="1:4" x14ac:dyDescent="0.45">
      <c r="A667" s="118" t="s">
        <v>914</v>
      </c>
      <c r="B667" s="118">
        <v>25</v>
      </c>
      <c r="C667" s="118" t="s">
        <v>1076</v>
      </c>
      <c r="D667" s="118" t="s">
        <v>964</v>
      </c>
    </row>
    <row r="668" spans="1:4" x14ac:dyDescent="0.45">
      <c r="A668" s="118" t="s">
        <v>914</v>
      </c>
      <c r="B668" s="118">
        <v>25</v>
      </c>
      <c r="C668" s="118" t="s">
        <v>1077</v>
      </c>
      <c r="D668" s="118" t="s">
        <v>965</v>
      </c>
    </row>
    <row r="669" spans="1:4" x14ac:dyDescent="0.45">
      <c r="A669" s="118" t="s">
        <v>915</v>
      </c>
      <c r="B669" s="118">
        <v>40</v>
      </c>
      <c r="C669" s="118" t="s">
        <v>986</v>
      </c>
      <c r="D669" s="118" t="s">
        <v>609</v>
      </c>
    </row>
    <row r="670" spans="1:4" x14ac:dyDescent="0.45">
      <c r="A670" s="118" t="s">
        <v>915</v>
      </c>
      <c r="B670" s="118">
        <v>201</v>
      </c>
      <c r="C670" s="118" t="s">
        <v>579</v>
      </c>
      <c r="D670" s="118" t="s">
        <v>580</v>
      </c>
    </row>
    <row r="671" spans="1:4" x14ac:dyDescent="0.45">
      <c r="A671" s="118" t="s">
        <v>915</v>
      </c>
      <c r="B671" s="118">
        <v>50</v>
      </c>
      <c r="C671" s="118" t="s">
        <v>584</v>
      </c>
      <c r="D671" s="118" t="s">
        <v>587</v>
      </c>
    </row>
    <row r="672" spans="1:4" x14ac:dyDescent="0.45">
      <c r="A672" s="118" t="s">
        <v>915</v>
      </c>
      <c r="B672" s="118">
        <v>2392</v>
      </c>
      <c r="C672" s="118" t="s">
        <v>672</v>
      </c>
      <c r="D672" s="118" t="s">
        <v>580</v>
      </c>
    </row>
    <row r="673" spans="1:4" x14ac:dyDescent="0.45">
      <c r="A673" s="118" t="s">
        <v>915</v>
      </c>
      <c r="B673" s="118">
        <v>20</v>
      </c>
      <c r="C673" s="118" t="s">
        <v>983</v>
      </c>
      <c r="D673" s="118" t="s">
        <v>596</v>
      </c>
    </row>
    <row r="674" spans="1:4" x14ac:dyDescent="0.45">
      <c r="A674" s="118" t="s">
        <v>915</v>
      </c>
      <c r="B674" s="118">
        <v>20</v>
      </c>
      <c r="C674" s="118" t="s">
        <v>1078</v>
      </c>
      <c r="D674" s="118" t="s">
        <v>966</v>
      </c>
    </row>
    <row r="675" spans="1:4" x14ac:dyDescent="0.45">
      <c r="A675" s="118" t="s">
        <v>915</v>
      </c>
      <c r="B675" s="118">
        <v>291</v>
      </c>
      <c r="C675" s="118" t="s">
        <v>916</v>
      </c>
      <c r="D675" s="118" t="s">
        <v>966</v>
      </c>
    </row>
    <row r="676" spans="1:4" x14ac:dyDescent="0.45">
      <c r="A676" s="118" t="s">
        <v>917</v>
      </c>
    </row>
    <row r="677" spans="1:4" x14ac:dyDescent="0.45">
      <c r="A677" s="118" t="s">
        <v>486</v>
      </c>
      <c r="B677" s="118">
        <v>250</v>
      </c>
      <c r="C677" s="118" t="s">
        <v>581</v>
      </c>
      <c r="D677" s="118" t="s">
        <v>585</v>
      </c>
    </row>
    <row r="678" spans="1:4" x14ac:dyDescent="0.45">
      <c r="A678" s="118" t="s">
        <v>486</v>
      </c>
      <c r="B678" s="118">
        <v>275</v>
      </c>
      <c r="C678" s="118" t="s">
        <v>584</v>
      </c>
      <c r="D678" s="118" t="s">
        <v>587</v>
      </c>
    </row>
    <row r="679" spans="1:4" x14ac:dyDescent="0.45">
      <c r="A679" s="118" t="s">
        <v>486</v>
      </c>
      <c r="B679" s="118">
        <v>115</v>
      </c>
      <c r="C679" s="118" t="s">
        <v>593</v>
      </c>
      <c r="D679" s="118" t="s">
        <v>595</v>
      </c>
    </row>
    <row r="680" spans="1:4" x14ac:dyDescent="0.45">
      <c r="A680" s="118" t="s">
        <v>486</v>
      </c>
      <c r="B680" s="118">
        <v>75</v>
      </c>
      <c r="C680" s="118" t="s">
        <v>990</v>
      </c>
      <c r="D680" s="118" t="s">
        <v>609</v>
      </c>
    </row>
    <row r="681" spans="1:4" x14ac:dyDescent="0.45">
      <c r="A681" s="118" t="s">
        <v>486</v>
      </c>
      <c r="B681" s="118">
        <v>60</v>
      </c>
      <c r="C681" s="118" t="s">
        <v>1079</v>
      </c>
      <c r="D681" s="118" t="s">
        <v>974</v>
      </c>
    </row>
    <row r="682" spans="1:4" x14ac:dyDescent="0.45">
      <c r="A682" s="118" t="s">
        <v>486</v>
      </c>
      <c r="B682" s="118">
        <v>50</v>
      </c>
      <c r="C682" s="118" t="s">
        <v>1080</v>
      </c>
      <c r="D682" s="118" t="s">
        <v>967</v>
      </c>
    </row>
    <row r="683" spans="1:4" x14ac:dyDescent="0.45">
      <c r="A683" s="118" t="s">
        <v>486</v>
      </c>
      <c r="B683" s="118">
        <v>100</v>
      </c>
      <c r="C683" s="118" t="s">
        <v>583</v>
      </c>
      <c r="D683" s="118" t="s">
        <v>586</v>
      </c>
    </row>
    <row r="684" spans="1:4" x14ac:dyDescent="0.45">
      <c r="A684" s="118" t="s">
        <v>486</v>
      </c>
      <c r="B684" s="118">
        <v>25</v>
      </c>
      <c r="C684" s="118" t="s">
        <v>660</v>
      </c>
      <c r="D684" s="118" t="s">
        <v>582</v>
      </c>
    </row>
    <row r="685" spans="1:4" x14ac:dyDescent="0.45">
      <c r="A685" s="118" t="s">
        <v>486</v>
      </c>
      <c r="B685" s="118">
        <v>75</v>
      </c>
      <c r="C685" s="118" t="s">
        <v>919</v>
      </c>
      <c r="D685" s="118" t="s">
        <v>582</v>
      </c>
    </row>
    <row r="686" spans="1:4" x14ac:dyDescent="0.45">
      <c r="A686" s="118" t="s">
        <v>486</v>
      </c>
      <c r="B686" s="118">
        <v>100</v>
      </c>
      <c r="C686" s="118" t="s">
        <v>1060</v>
      </c>
      <c r="D686" s="118" t="s">
        <v>967</v>
      </c>
    </row>
    <row r="687" spans="1:4" x14ac:dyDescent="0.45">
      <c r="A687" s="118" t="s">
        <v>918</v>
      </c>
      <c r="B687" s="118">
        <v>100</v>
      </c>
      <c r="C687" s="118" t="s">
        <v>584</v>
      </c>
      <c r="D687" s="118" t="s">
        <v>587</v>
      </c>
    </row>
    <row r="688" spans="1:4" x14ac:dyDescent="0.45">
      <c r="A688" s="118" t="s">
        <v>918</v>
      </c>
      <c r="B688" s="118">
        <v>100</v>
      </c>
      <c r="C688" s="118" t="s">
        <v>583</v>
      </c>
      <c r="D688" s="118" t="s">
        <v>586</v>
      </c>
    </row>
    <row r="689" spans="1:5" x14ac:dyDescent="0.45">
      <c r="A689" s="118" t="s">
        <v>918</v>
      </c>
      <c r="B689" s="118">
        <v>60</v>
      </c>
      <c r="C689" s="118" t="s">
        <v>1081</v>
      </c>
      <c r="D689" s="118" t="s">
        <v>967</v>
      </c>
    </row>
    <row r="690" spans="1:5" x14ac:dyDescent="0.45">
      <c r="A690" s="118" t="s">
        <v>918</v>
      </c>
      <c r="B690" s="118">
        <v>150</v>
      </c>
      <c r="C690" s="118" t="s">
        <v>581</v>
      </c>
      <c r="D690" s="118" t="s">
        <v>585</v>
      </c>
    </row>
    <row r="691" spans="1:5" x14ac:dyDescent="0.45">
      <c r="A691" s="118" t="s">
        <v>918</v>
      </c>
      <c r="B691" s="118">
        <v>125</v>
      </c>
      <c r="C691" s="118" t="s">
        <v>990</v>
      </c>
      <c r="D691" s="118" t="s">
        <v>609</v>
      </c>
    </row>
    <row r="692" spans="1:5" x14ac:dyDescent="0.45">
      <c r="A692" s="118" t="s">
        <v>918</v>
      </c>
      <c r="B692" s="118">
        <v>60</v>
      </c>
      <c r="C692" s="118" t="s">
        <v>593</v>
      </c>
      <c r="D692" s="118" t="s">
        <v>595</v>
      </c>
    </row>
    <row r="693" spans="1:5" x14ac:dyDescent="0.45">
      <c r="A693" s="118" t="s">
        <v>918</v>
      </c>
      <c r="B693" s="118">
        <v>50</v>
      </c>
      <c r="C693" s="118" t="s">
        <v>1060</v>
      </c>
      <c r="D693" s="118" t="s">
        <v>967</v>
      </c>
    </row>
    <row r="694" spans="1:5" x14ac:dyDescent="0.45">
      <c r="A694" s="118" t="s">
        <v>918</v>
      </c>
      <c r="B694" s="118">
        <v>350</v>
      </c>
      <c r="C694" s="118" t="s">
        <v>920</v>
      </c>
      <c r="D694" s="118" t="s">
        <v>958</v>
      </c>
    </row>
    <row r="695" spans="1:5" x14ac:dyDescent="0.45">
      <c r="A695" s="118" t="s">
        <v>921</v>
      </c>
      <c r="B695" s="118">
        <v>200</v>
      </c>
      <c r="C695" s="118" t="s">
        <v>581</v>
      </c>
      <c r="D695" s="118" t="s">
        <v>580</v>
      </c>
      <c r="E695" s="118" t="s">
        <v>923</v>
      </c>
    </row>
    <row r="696" spans="1:5" x14ac:dyDescent="0.45">
      <c r="A696" s="118" t="s">
        <v>921</v>
      </c>
      <c r="B696" s="118">
        <v>225</v>
      </c>
      <c r="C696" s="118" t="s">
        <v>584</v>
      </c>
      <c r="D696" s="118" t="s">
        <v>580</v>
      </c>
    </row>
    <row r="697" spans="1:5" x14ac:dyDescent="0.45">
      <c r="A697" s="118" t="s">
        <v>921</v>
      </c>
      <c r="B697" s="118">
        <v>1500</v>
      </c>
      <c r="C697" s="118" t="s">
        <v>873</v>
      </c>
      <c r="D697" s="118" t="s">
        <v>599</v>
      </c>
    </row>
    <row r="698" spans="1:5" x14ac:dyDescent="0.45">
      <c r="A698" s="118" t="s">
        <v>921</v>
      </c>
      <c r="B698" s="118">
        <v>30</v>
      </c>
      <c r="C698" s="118" t="s">
        <v>593</v>
      </c>
      <c r="D698" s="118" t="s">
        <v>580</v>
      </c>
    </row>
    <row r="699" spans="1:5" x14ac:dyDescent="0.45">
      <c r="A699" s="118" t="s">
        <v>921</v>
      </c>
      <c r="B699" s="118">
        <v>20</v>
      </c>
      <c r="C699" s="118" t="s">
        <v>1081</v>
      </c>
      <c r="D699" s="118" t="s">
        <v>968</v>
      </c>
    </row>
    <row r="700" spans="1:5" x14ac:dyDescent="0.45">
      <c r="A700" s="118" t="s">
        <v>921</v>
      </c>
      <c r="B700" s="118">
        <v>20</v>
      </c>
      <c r="C700" s="118" t="s">
        <v>1082</v>
      </c>
      <c r="D700" s="118" t="s">
        <v>580</v>
      </c>
    </row>
    <row r="701" spans="1:5" x14ac:dyDescent="0.45">
      <c r="A701" s="118" t="s">
        <v>921</v>
      </c>
      <c r="B701" s="118">
        <v>20</v>
      </c>
      <c r="C701" s="118" t="s">
        <v>1083</v>
      </c>
      <c r="D701" s="118" t="s">
        <v>969</v>
      </c>
    </row>
    <row r="702" spans="1:5" x14ac:dyDescent="0.45">
      <c r="A702" s="118" t="s">
        <v>921</v>
      </c>
      <c r="B702" s="118">
        <v>75</v>
      </c>
      <c r="C702" s="118" t="s">
        <v>583</v>
      </c>
      <c r="D702" s="118" t="s">
        <v>580</v>
      </c>
    </row>
    <row r="703" spans="1:5" x14ac:dyDescent="0.45">
      <c r="A703" s="118" t="s">
        <v>921</v>
      </c>
      <c r="B703" s="118">
        <v>50</v>
      </c>
      <c r="C703" s="118" t="s">
        <v>922</v>
      </c>
      <c r="D703" s="118" t="s">
        <v>970</v>
      </c>
    </row>
    <row r="704" spans="1:5" x14ac:dyDescent="0.45">
      <c r="A704" s="118" t="s">
        <v>924</v>
      </c>
      <c r="B704" s="118">
        <v>75</v>
      </c>
      <c r="C704" s="118" t="s">
        <v>1084</v>
      </c>
      <c r="D704" s="118" t="s">
        <v>580</v>
      </c>
    </row>
    <row r="705" spans="1:4" x14ac:dyDescent="0.45">
      <c r="A705" s="118" t="s">
        <v>924</v>
      </c>
      <c r="B705" s="118">
        <v>75</v>
      </c>
      <c r="C705" s="118" t="s">
        <v>584</v>
      </c>
      <c r="D705" s="118" t="s">
        <v>580</v>
      </c>
    </row>
    <row r="706" spans="1:4" x14ac:dyDescent="0.45">
      <c r="A706" s="118" t="s">
        <v>924</v>
      </c>
      <c r="B706" s="118">
        <v>50</v>
      </c>
      <c r="C706" s="118" t="s">
        <v>618</v>
      </c>
      <c r="D706" s="118" t="s">
        <v>580</v>
      </c>
    </row>
    <row r="707" spans="1:4" x14ac:dyDescent="0.45">
      <c r="A707" s="118" t="s">
        <v>924</v>
      </c>
      <c r="B707" s="118">
        <v>100</v>
      </c>
      <c r="C707" s="118" t="s">
        <v>581</v>
      </c>
      <c r="D707" s="118" t="s">
        <v>580</v>
      </c>
    </row>
    <row r="708" spans="1:4" x14ac:dyDescent="0.45">
      <c r="A708" s="118" t="s">
        <v>924</v>
      </c>
      <c r="B708" s="118">
        <v>60</v>
      </c>
      <c r="C708" s="118" t="s">
        <v>593</v>
      </c>
      <c r="D708" s="118" t="s">
        <v>580</v>
      </c>
    </row>
    <row r="709" spans="1:4" x14ac:dyDescent="0.45">
      <c r="A709" s="118" t="s">
        <v>925</v>
      </c>
      <c r="B709" s="118">
        <v>250</v>
      </c>
      <c r="C709" s="118" t="s">
        <v>676</v>
      </c>
      <c r="D709" s="118" t="s">
        <v>580</v>
      </c>
    </row>
    <row r="710" spans="1:4" x14ac:dyDescent="0.45">
      <c r="A710" s="118" t="s">
        <v>925</v>
      </c>
      <c r="B710" s="118">
        <v>100</v>
      </c>
      <c r="C710" s="118" t="s">
        <v>736</v>
      </c>
      <c r="D710" s="118" t="s">
        <v>580</v>
      </c>
    </row>
    <row r="711" spans="1:4" x14ac:dyDescent="0.45">
      <c r="A711" s="118" t="s">
        <v>925</v>
      </c>
      <c r="B711" s="118">
        <v>100</v>
      </c>
      <c r="C711" s="118" t="s">
        <v>618</v>
      </c>
      <c r="D711" s="118" t="s">
        <v>580</v>
      </c>
    </row>
    <row r="712" spans="1:4" x14ac:dyDescent="0.45">
      <c r="A712" s="118" t="s">
        <v>925</v>
      </c>
      <c r="B712" s="118">
        <v>90</v>
      </c>
      <c r="C712" s="118" t="s">
        <v>593</v>
      </c>
      <c r="D712" s="118" t="s">
        <v>580</v>
      </c>
    </row>
    <row r="713" spans="1:4" x14ac:dyDescent="0.45">
      <c r="A713" s="118" t="s">
        <v>925</v>
      </c>
      <c r="B713" s="118">
        <v>12220</v>
      </c>
      <c r="C713" s="118" t="s">
        <v>673</v>
      </c>
      <c r="D713" s="118" t="s">
        <v>580</v>
      </c>
    </row>
    <row r="714" spans="1:4" x14ac:dyDescent="0.45">
      <c r="A714" s="118" t="s">
        <v>925</v>
      </c>
      <c r="B714" s="118">
        <v>40</v>
      </c>
      <c r="C714" s="118" t="s">
        <v>1085</v>
      </c>
      <c r="D714" s="118" t="s">
        <v>977</v>
      </c>
    </row>
    <row r="715" spans="1:4" x14ac:dyDescent="0.45">
      <c r="A715" s="118" t="s">
        <v>925</v>
      </c>
      <c r="B715" s="118">
        <v>175</v>
      </c>
      <c r="C715" s="118" t="s">
        <v>1060</v>
      </c>
      <c r="D715" s="118" t="s">
        <v>967</v>
      </c>
    </row>
    <row r="716" spans="1:4" x14ac:dyDescent="0.45">
      <c r="A716" s="118" t="s">
        <v>925</v>
      </c>
      <c r="B716" s="118">
        <v>20</v>
      </c>
      <c r="C716" s="118" t="s">
        <v>1081</v>
      </c>
      <c r="D716" s="118" t="s">
        <v>967</v>
      </c>
    </row>
    <row r="717" spans="1:4" x14ac:dyDescent="0.45">
      <c r="A717" s="118" t="s">
        <v>926</v>
      </c>
      <c r="B717" s="118">
        <v>75</v>
      </c>
      <c r="C717" s="118" t="s">
        <v>584</v>
      </c>
      <c r="D717" s="118" t="s">
        <v>580</v>
      </c>
    </row>
    <row r="718" spans="1:4" x14ac:dyDescent="0.45">
      <c r="A718" s="118" t="s">
        <v>926</v>
      </c>
      <c r="B718" s="118">
        <v>30</v>
      </c>
      <c r="C718" s="118" t="s">
        <v>593</v>
      </c>
      <c r="D718" s="118" t="s">
        <v>580</v>
      </c>
    </row>
    <row r="719" spans="1:4" x14ac:dyDescent="0.45">
      <c r="A719" s="118" t="s">
        <v>926</v>
      </c>
      <c r="B719" s="118">
        <v>1500</v>
      </c>
      <c r="C719" s="118" t="s">
        <v>927</v>
      </c>
      <c r="D719" s="118" t="s">
        <v>971</v>
      </c>
    </row>
    <row r="720" spans="1:4" x14ac:dyDescent="0.45">
      <c r="A720" s="118" t="s">
        <v>928</v>
      </c>
      <c r="B720" s="118">
        <v>100</v>
      </c>
      <c r="C720" s="118" t="s">
        <v>929</v>
      </c>
      <c r="D720" s="118" t="s">
        <v>580</v>
      </c>
    </row>
    <row r="721" spans="1:4" x14ac:dyDescent="0.45">
      <c r="A721" s="118" t="s">
        <v>928</v>
      </c>
      <c r="B721" s="118">
        <v>40</v>
      </c>
      <c r="C721" s="118" t="s">
        <v>1082</v>
      </c>
      <c r="D721" s="118" t="s">
        <v>974</v>
      </c>
    </row>
    <row r="722" spans="1:4" x14ac:dyDescent="0.45">
      <c r="A722" s="118" t="s">
        <v>928</v>
      </c>
      <c r="B722" s="118">
        <v>20</v>
      </c>
      <c r="C722" s="118" t="s">
        <v>1079</v>
      </c>
      <c r="D722" s="118" t="s">
        <v>974</v>
      </c>
    </row>
    <row r="723" spans="1:4" x14ac:dyDescent="0.45">
      <c r="A723" s="118" t="s">
        <v>928</v>
      </c>
      <c r="B723" s="118">
        <v>50</v>
      </c>
      <c r="C723" s="118" t="s">
        <v>1086</v>
      </c>
      <c r="D723" s="118" t="s">
        <v>967</v>
      </c>
    </row>
    <row r="724" spans="1:4" x14ac:dyDescent="0.45">
      <c r="A724" s="118" t="s">
        <v>928</v>
      </c>
      <c r="B724" s="118">
        <v>40</v>
      </c>
      <c r="C724" s="118" t="s">
        <v>1085</v>
      </c>
      <c r="D724" s="118" t="s">
        <v>977</v>
      </c>
    </row>
    <row r="725" spans="1:4" x14ac:dyDescent="0.45">
      <c r="A725" s="118" t="s">
        <v>928</v>
      </c>
      <c r="B725" s="118">
        <v>60</v>
      </c>
      <c r="C725" s="118" t="s">
        <v>1081</v>
      </c>
      <c r="D725" s="118" t="s">
        <v>967</v>
      </c>
    </row>
    <row r="726" spans="1:4" x14ac:dyDescent="0.45">
      <c r="A726" s="118" t="s">
        <v>928</v>
      </c>
      <c r="B726" s="118">
        <v>150</v>
      </c>
      <c r="C726" s="118" t="s">
        <v>990</v>
      </c>
      <c r="D726" s="118" t="s">
        <v>609</v>
      </c>
    </row>
    <row r="727" spans="1:4" x14ac:dyDescent="0.45">
      <c r="A727" s="118" t="s">
        <v>928</v>
      </c>
      <c r="B727" s="118">
        <v>75</v>
      </c>
      <c r="C727" s="118" t="s">
        <v>1060</v>
      </c>
      <c r="D727" s="118" t="s">
        <v>967</v>
      </c>
    </row>
    <row r="728" spans="1:4" x14ac:dyDescent="0.45">
      <c r="A728" s="118" t="s">
        <v>928</v>
      </c>
      <c r="B728" s="118">
        <v>50</v>
      </c>
      <c r="C728" s="118" t="s">
        <v>584</v>
      </c>
      <c r="D728" s="118" t="s">
        <v>580</v>
      </c>
    </row>
    <row r="729" spans="1:4" x14ac:dyDescent="0.45">
      <c r="A729" s="118" t="s">
        <v>928</v>
      </c>
      <c r="B729" s="118">
        <v>100</v>
      </c>
      <c r="C729" s="118" t="s">
        <v>581</v>
      </c>
      <c r="D729" s="118" t="s">
        <v>580</v>
      </c>
    </row>
    <row r="730" spans="1:4" x14ac:dyDescent="0.45">
      <c r="A730" s="118" t="s">
        <v>928</v>
      </c>
      <c r="B730" s="118">
        <v>25</v>
      </c>
      <c r="C730" s="118" t="s">
        <v>618</v>
      </c>
      <c r="D730" s="118" t="s">
        <v>580</v>
      </c>
    </row>
    <row r="731" spans="1:4" x14ac:dyDescent="0.45">
      <c r="A731" s="118" t="s">
        <v>928</v>
      </c>
      <c r="B731" s="118">
        <v>25</v>
      </c>
      <c r="C731" s="118" t="s">
        <v>811</v>
      </c>
      <c r="D731" s="118" t="s">
        <v>969</v>
      </c>
    </row>
    <row r="732" spans="1:4" x14ac:dyDescent="0.45">
      <c r="A732" s="118" t="s">
        <v>930</v>
      </c>
      <c r="B732" s="118">
        <v>20</v>
      </c>
      <c r="C732" s="118" t="s">
        <v>1087</v>
      </c>
      <c r="D732" s="118" t="s">
        <v>580</v>
      </c>
    </row>
    <row r="733" spans="1:4" x14ac:dyDescent="0.45">
      <c r="A733" s="118" t="s">
        <v>930</v>
      </c>
      <c r="B733" s="118">
        <v>40</v>
      </c>
      <c r="C733" s="118" t="s">
        <v>1081</v>
      </c>
      <c r="D733" s="118" t="s">
        <v>580</v>
      </c>
    </row>
    <row r="734" spans="1:4" x14ac:dyDescent="0.45">
      <c r="A734" s="118" t="s">
        <v>930</v>
      </c>
      <c r="B734" s="118">
        <v>100</v>
      </c>
      <c r="C734" s="118" t="s">
        <v>1060</v>
      </c>
      <c r="D734" s="118" t="s">
        <v>580</v>
      </c>
    </row>
    <row r="735" spans="1:4" x14ac:dyDescent="0.45">
      <c r="A735" s="118" t="s">
        <v>930</v>
      </c>
      <c r="B735" s="118">
        <v>16</v>
      </c>
      <c r="C735" s="118" t="s">
        <v>579</v>
      </c>
      <c r="D735" s="118" t="s">
        <v>580</v>
      </c>
    </row>
    <row r="736" spans="1:4" x14ac:dyDescent="0.45">
      <c r="A736" s="118" t="s">
        <v>931</v>
      </c>
    </row>
    <row r="737" spans="1:4" x14ac:dyDescent="0.45">
      <c r="A737" s="118" t="s">
        <v>491</v>
      </c>
      <c r="B737" s="118">
        <v>225</v>
      </c>
      <c r="C737" s="118" t="s">
        <v>583</v>
      </c>
      <c r="D737" s="118" t="s">
        <v>580</v>
      </c>
    </row>
    <row r="738" spans="1:4" x14ac:dyDescent="0.45">
      <c r="A738" s="118" t="s">
        <v>491</v>
      </c>
      <c r="B738" s="118">
        <v>475</v>
      </c>
      <c r="C738" s="118" t="s">
        <v>584</v>
      </c>
      <c r="D738" s="118" t="s">
        <v>580</v>
      </c>
    </row>
    <row r="739" spans="1:4" x14ac:dyDescent="0.45">
      <c r="A739" s="118" t="s">
        <v>491</v>
      </c>
      <c r="B739" s="118">
        <v>150</v>
      </c>
      <c r="C739" s="118" t="s">
        <v>648</v>
      </c>
      <c r="D739" s="118" t="s">
        <v>580</v>
      </c>
    </row>
    <row r="740" spans="1:4" x14ac:dyDescent="0.45">
      <c r="A740" s="118" t="s">
        <v>491</v>
      </c>
      <c r="B740" s="118">
        <v>18</v>
      </c>
      <c r="C740" s="118" t="s">
        <v>579</v>
      </c>
      <c r="D740" s="118" t="s">
        <v>580</v>
      </c>
    </row>
    <row r="741" spans="1:4" x14ac:dyDescent="0.45">
      <c r="A741" s="118" t="s">
        <v>491</v>
      </c>
      <c r="B741" s="118">
        <v>40</v>
      </c>
      <c r="C741" s="118" t="s">
        <v>1082</v>
      </c>
      <c r="D741" s="118" t="s">
        <v>580</v>
      </c>
    </row>
    <row r="742" spans="1:4" x14ac:dyDescent="0.45">
      <c r="A742" s="118" t="s">
        <v>491</v>
      </c>
      <c r="B742" s="118">
        <v>40</v>
      </c>
      <c r="C742" s="118" t="s">
        <v>1081</v>
      </c>
      <c r="D742" s="118" t="s">
        <v>580</v>
      </c>
    </row>
    <row r="743" spans="1:4" x14ac:dyDescent="0.45">
      <c r="A743" s="118" t="s">
        <v>491</v>
      </c>
      <c r="B743" s="118">
        <v>80</v>
      </c>
      <c r="C743" s="118" t="s">
        <v>1085</v>
      </c>
      <c r="D743" s="118" t="s">
        <v>582</v>
      </c>
    </row>
    <row r="744" spans="1:4" x14ac:dyDescent="0.45">
      <c r="A744" s="118" t="s">
        <v>491</v>
      </c>
      <c r="B744" s="118">
        <v>30</v>
      </c>
      <c r="C744" s="118" t="s">
        <v>932</v>
      </c>
      <c r="D744" s="118" t="s">
        <v>582</v>
      </c>
    </row>
    <row r="745" spans="1:4" x14ac:dyDescent="0.45">
      <c r="A745" s="118" t="s">
        <v>491</v>
      </c>
      <c r="B745" s="118">
        <v>25</v>
      </c>
      <c r="C745" s="118" t="s">
        <v>933</v>
      </c>
      <c r="D745" s="118" t="s">
        <v>582</v>
      </c>
    </row>
    <row r="746" spans="1:4" x14ac:dyDescent="0.45">
      <c r="A746" s="118" t="s">
        <v>934</v>
      </c>
      <c r="B746" s="118">
        <v>20</v>
      </c>
      <c r="C746" s="118" t="s">
        <v>1088</v>
      </c>
      <c r="D746" s="118" t="s">
        <v>977</v>
      </c>
    </row>
    <row r="747" spans="1:4" x14ac:dyDescent="0.45">
      <c r="A747" s="118" t="s">
        <v>934</v>
      </c>
      <c r="B747" s="118">
        <v>30</v>
      </c>
      <c r="C747" s="118" t="s">
        <v>935</v>
      </c>
      <c r="D747" s="118" t="s">
        <v>595</v>
      </c>
    </row>
    <row r="748" spans="1:4" x14ac:dyDescent="0.45">
      <c r="A748" s="118" t="s">
        <v>934</v>
      </c>
      <c r="B748" s="118">
        <v>20</v>
      </c>
      <c r="C748" s="118" t="s">
        <v>1089</v>
      </c>
      <c r="D748" s="118" t="s">
        <v>967</v>
      </c>
    </row>
    <row r="749" spans="1:4" x14ac:dyDescent="0.45">
      <c r="A749" s="118" t="s">
        <v>934</v>
      </c>
      <c r="B749" s="118">
        <v>20</v>
      </c>
      <c r="C749" s="118" t="s">
        <v>1090</v>
      </c>
      <c r="D749" s="118" t="s">
        <v>967</v>
      </c>
    </row>
    <row r="750" spans="1:4" x14ac:dyDescent="0.45">
      <c r="A750" s="118" t="s">
        <v>934</v>
      </c>
      <c r="B750" s="118">
        <v>50</v>
      </c>
      <c r="C750" s="118" t="s">
        <v>937</v>
      </c>
      <c r="D750" s="118" t="s">
        <v>587</v>
      </c>
    </row>
    <row r="751" spans="1:4" x14ac:dyDescent="0.45">
      <c r="A751" s="118" t="s">
        <v>934</v>
      </c>
      <c r="B751" s="118">
        <v>30</v>
      </c>
      <c r="C751" s="118" t="s">
        <v>936</v>
      </c>
      <c r="D751" s="118" t="s">
        <v>595</v>
      </c>
    </row>
    <row r="752" spans="1:4" x14ac:dyDescent="0.45">
      <c r="A752" s="118" t="s">
        <v>934</v>
      </c>
      <c r="B752" s="118">
        <v>20</v>
      </c>
      <c r="C752" s="118" t="s">
        <v>1091</v>
      </c>
      <c r="D752" s="118" t="s">
        <v>967</v>
      </c>
    </row>
    <row r="753" spans="1:4" x14ac:dyDescent="0.45">
      <c r="A753" s="118" t="s">
        <v>497</v>
      </c>
      <c r="B753" s="118">
        <v>40</v>
      </c>
      <c r="C753" s="118" t="s">
        <v>1092</v>
      </c>
      <c r="D753" s="118" t="s">
        <v>974</v>
      </c>
    </row>
    <row r="754" spans="1:4" x14ac:dyDescent="0.45">
      <c r="A754" s="118" t="s">
        <v>497</v>
      </c>
      <c r="B754" s="118">
        <v>60</v>
      </c>
      <c r="C754" s="118" t="s">
        <v>1085</v>
      </c>
      <c r="D754" s="118" t="s">
        <v>977</v>
      </c>
    </row>
    <row r="755" spans="1:4" x14ac:dyDescent="0.45">
      <c r="A755" s="118" t="s">
        <v>497</v>
      </c>
      <c r="B755" s="118">
        <v>20</v>
      </c>
      <c r="C755" s="118" t="s">
        <v>1081</v>
      </c>
      <c r="D755" s="118" t="s">
        <v>967</v>
      </c>
    </row>
    <row r="756" spans="1:4" x14ac:dyDescent="0.45">
      <c r="A756" s="118" t="s">
        <v>938</v>
      </c>
      <c r="B756" s="118">
        <v>40</v>
      </c>
      <c r="C756" s="118" t="s">
        <v>1092</v>
      </c>
      <c r="D756" s="118" t="s">
        <v>580</v>
      </c>
    </row>
    <row r="757" spans="1:4" x14ac:dyDescent="0.45">
      <c r="A757" s="118" t="s">
        <v>938</v>
      </c>
      <c r="B757" s="118">
        <v>20</v>
      </c>
      <c r="C757" s="118" t="s">
        <v>1081</v>
      </c>
      <c r="D757" s="118" t="s">
        <v>580</v>
      </c>
    </row>
    <row r="758" spans="1:4" x14ac:dyDescent="0.45">
      <c r="A758" s="118" t="s">
        <v>938</v>
      </c>
      <c r="B758" s="118">
        <v>25</v>
      </c>
      <c r="C758" s="118" t="s">
        <v>676</v>
      </c>
      <c r="D758" s="118" t="s">
        <v>580</v>
      </c>
    </row>
    <row r="759" spans="1:4" x14ac:dyDescent="0.45">
      <c r="A759" s="118" t="s">
        <v>938</v>
      </c>
      <c r="B759" s="118">
        <v>20</v>
      </c>
      <c r="C759" s="118" t="s">
        <v>1093</v>
      </c>
      <c r="D759" s="118" t="s">
        <v>582</v>
      </c>
    </row>
    <row r="760" spans="1:4" x14ac:dyDescent="0.45">
      <c r="A760" s="118" t="s">
        <v>938</v>
      </c>
      <c r="B760" s="118">
        <v>75</v>
      </c>
      <c r="C760" s="118" t="s">
        <v>939</v>
      </c>
      <c r="D760" s="118" t="s">
        <v>787</v>
      </c>
    </row>
    <row r="761" spans="1:4" x14ac:dyDescent="0.45">
      <c r="A761" s="118" t="s">
        <v>938</v>
      </c>
      <c r="B761" s="118">
        <v>20</v>
      </c>
      <c r="C761" s="118" t="s">
        <v>1094</v>
      </c>
      <c r="D761" s="118" t="s">
        <v>787</v>
      </c>
    </row>
    <row r="762" spans="1:4" x14ac:dyDescent="0.45">
      <c r="A762" s="118" t="s">
        <v>938</v>
      </c>
      <c r="B762" s="118">
        <v>60</v>
      </c>
      <c r="C762" s="118" t="s">
        <v>940</v>
      </c>
      <c r="D762" s="118" t="s">
        <v>778</v>
      </c>
    </row>
    <row r="763" spans="1:4" x14ac:dyDescent="0.45">
      <c r="A763" s="118" t="s">
        <v>941</v>
      </c>
      <c r="B763" s="118">
        <v>100</v>
      </c>
      <c r="C763" s="118" t="s">
        <v>1085</v>
      </c>
      <c r="D763" s="118" t="s">
        <v>582</v>
      </c>
    </row>
    <row r="764" spans="1:4" x14ac:dyDescent="0.45">
      <c r="A764" s="118" t="s">
        <v>941</v>
      </c>
      <c r="B764" s="118">
        <v>40</v>
      </c>
      <c r="C764" s="118" t="s">
        <v>1081</v>
      </c>
      <c r="D764" s="118" t="s">
        <v>580</v>
      </c>
    </row>
    <row r="765" spans="1:4" x14ac:dyDescent="0.45">
      <c r="A765" s="118" t="s">
        <v>944</v>
      </c>
      <c r="B765" s="118">
        <v>50</v>
      </c>
      <c r="C765" s="118" t="s">
        <v>583</v>
      </c>
      <c r="D765" s="118" t="s">
        <v>580</v>
      </c>
    </row>
    <row r="766" spans="1:4" x14ac:dyDescent="0.45">
      <c r="A766" s="118" t="s">
        <v>944</v>
      </c>
      <c r="B766" s="118">
        <v>75</v>
      </c>
      <c r="C766" s="118" t="s">
        <v>584</v>
      </c>
      <c r="D766" s="118" t="s">
        <v>580</v>
      </c>
    </row>
    <row r="767" spans="1:4" x14ac:dyDescent="0.45">
      <c r="A767" s="118" t="s">
        <v>944</v>
      </c>
      <c r="B767" s="118">
        <v>30</v>
      </c>
      <c r="C767" s="118" t="s">
        <v>593</v>
      </c>
      <c r="D767" s="118" t="s">
        <v>580</v>
      </c>
    </row>
    <row r="768" spans="1:4" x14ac:dyDescent="0.45">
      <c r="A768" s="118" t="s">
        <v>942</v>
      </c>
      <c r="B768" s="118">
        <v>40</v>
      </c>
      <c r="C768" s="118" t="s">
        <v>1092</v>
      </c>
      <c r="D768" s="118" t="s">
        <v>974</v>
      </c>
    </row>
    <row r="769" spans="1:4" x14ac:dyDescent="0.45">
      <c r="A769" s="118" t="s">
        <v>943</v>
      </c>
      <c r="B769" s="118">
        <v>60</v>
      </c>
      <c r="C769" s="118" t="s">
        <v>1082</v>
      </c>
      <c r="D769" s="118" t="s">
        <v>974</v>
      </c>
    </row>
    <row r="770" spans="1:4" x14ac:dyDescent="0.45">
      <c r="A770" s="118" t="s">
        <v>943</v>
      </c>
      <c r="B770" s="118">
        <v>40</v>
      </c>
      <c r="C770" s="118" t="s">
        <v>1095</v>
      </c>
      <c r="D770" s="118" t="s">
        <v>967</v>
      </c>
    </row>
    <row r="771" spans="1:4" x14ac:dyDescent="0.45">
      <c r="A771" s="118" t="s">
        <v>945</v>
      </c>
      <c r="B771" s="118">
        <v>40</v>
      </c>
      <c r="C771" s="118" t="s">
        <v>1092</v>
      </c>
      <c r="D771" s="118" t="s">
        <v>580</v>
      </c>
    </row>
    <row r="772" spans="1:4" x14ac:dyDescent="0.45">
      <c r="A772" s="118" t="s">
        <v>945</v>
      </c>
      <c r="B772" s="118">
        <v>40</v>
      </c>
      <c r="C772" s="118" t="s">
        <v>1095</v>
      </c>
      <c r="D772" s="118" t="s">
        <v>580</v>
      </c>
    </row>
    <row r="773" spans="1:4" x14ac:dyDescent="0.45">
      <c r="A773" s="118" t="s">
        <v>945</v>
      </c>
      <c r="B773" s="118">
        <v>50</v>
      </c>
      <c r="C773" s="118" t="s">
        <v>584</v>
      </c>
      <c r="D773" s="118" t="s">
        <v>580</v>
      </c>
    </row>
    <row r="774" spans="1:4" x14ac:dyDescent="0.45">
      <c r="A774" s="118" t="s">
        <v>945</v>
      </c>
      <c r="B774" s="118">
        <v>30</v>
      </c>
      <c r="C774" s="118" t="s">
        <v>593</v>
      </c>
      <c r="D774" s="118" t="s">
        <v>595</v>
      </c>
    </row>
    <row r="775" spans="1:4" x14ac:dyDescent="0.45">
      <c r="A775" s="118" t="s">
        <v>945</v>
      </c>
      <c r="B775" s="118">
        <v>25</v>
      </c>
      <c r="C775" s="118" t="s">
        <v>1096</v>
      </c>
      <c r="D775" s="118" t="s">
        <v>595</v>
      </c>
    </row>
    <row r="776" spans="1:4" x14ac:dyDescent="0.45">
      <c r="A776" s="118" t="s">
        <v>946</v>
      </c>
      <c r="B776" s="118">
        <v>40</v>
      </c>
      <c r="C776" s="118" t="s">
        <v>1092</v>
      </c>
      <c r="D776" s="118" t="s">
        <v>974</v>
      </c>
    </row>
    <row r="777" spans="1:4" x14ac:dyDescent="0.45">
      <c r="A777" s="118" t="s">
        <v>946</v>
      </c>
      <c r="B777" s="118">
        <v>60</v>
      </c>
      <c r="C777" s="118" t="s">
        <v>593</v>
      </c>
      <c r="D777" s="118" t="s">
        <v>595</v>
      </c>
    </row>
    <row r="778" spans="1:4" x14ac:dyDescent="0.45">
      <c r="A778" s="118" t="s">
        <v>946</v>
      </c>
      <c r="B778" s="118">
        <v>300</v>
      </c>
      <c r="C778" s="118" t="s">
        <v>584</v>
      </c>
      <c r="D778" s="118" t="s">
        <v>587</v>
      </c>
    </row>
    <row r="779" spans="1:4" x14ac:dyDescent="0.45">
      <c r="A779" s="118" t="s">
        <v>946</v>
      </c>
      <c r="B779" s="118">
        <v>80</v>
      </c>
      <c r="C779" s="118" t="s">
        <v>1097</v>
      </c>
      <c r="D779" s="118" t="s">
        <v>977</v>
      </c>
    </row>
    <row r="780" spans="1:4" x14ac:dyDescent="0.45">
      <c r="A780" s="118" t="s">
        <v>946</v>
      </c>
      <c r="B780" s="118">
        <v>50</v>
      </c>
      <c r="C780" s="118" t="s">
        <v>947</v>
      </c>
      <c r="D780" s="118" t="s">
        <v>595</v>
      </c>
    </row>
    <row r="781" spans="1:4" x14ac:dyDescent="0.45">
      <c r="A781" s="118" t="s">
        <v>946</v>
      </c>
      <c r="B781" s="118">
        <v>60</v>
      </c>
      <c r="C781" s="118" t="s">
        <v>948</v>
      </c>
      <c r="D781" s="118" t="s">
        <v>595</v>
      </c>
    </row>
    <row r="782" spans="1:4" x14ac:dyDescent="0.45">
      <c r="A782" s="118" t="s">
        <v>946</v>
      </c>
      <c r="B782" s="118">
        <v>175</v>
      </c>
      <c r="C782" s="118" t="s">
        <v>949</v>
      </c>
      <c r="D782" s="118" t="s">
        <v>595</v>
      </c>
    </row>
    <row r="783" spans="1:4" x14ac:dyDescent="0.45">
      <c r="A783" s="118" t="s">
        <v>946</v>
      </c>
      <c r="B783" s="118">
        <v>30</v>
      </c>
      <c r="C783" s="118" t="s">
        <v>950</v>
      </c>
      <c r="D783" s="118" t="s">
        <v>785</v>
      </c>
    </row>
    <row r="784" spans="1:4" x14ac:dyDescent="0.45">
      <c r="A784" s="118" t="s">
        <v>946</v>
      </c>
      <c r="B784" s="118">
        <v>40</v>
      </c>
      <c r="C784" s="118" t="s">
        <v>1098</v>
      </c>
      <c r="D784" s="118" t="s">
        <v>975</v>
      </c>
    </row>
    <row r="785" spans="1:4" x14ac:dyDescent="0.45">
      <c r="A785" s="118" t="s">
        <v>951</v>
      </c>
      <c r="B785" s="118">
        <v>20</v>
      </c>
      <c r="C785" s="118" t="s">
        <v>1085</v>
      </c>
      <c r="D785" s="118" t="s">
        <v>968</v>
      </c>
    </row>
    <row r="786" spans="1:4" x14ac:dyDescent="0.45">
      <c r="A786" s="118" t="s">
        <v>951</v>
      </c>
      <c r="B786" s="118">
        <v>20</v>
      </c>
      <c r="C786" s="118" t="s">
        <v>1082</v>
      </c>
      <c r="D786" s="118" t="s">
        <v>580</v>
      </c>
    </row>
    <row r="787" spans="1:4" x14ac:dyDescent="0.45">
      <c r="A787" s="118" t="s">
        <v>951</v>
      </c>
      <c r="B787" s="118">
        <v>75</v>
      </c>
      <c r="C787" s="118" t="s">
        <v>584</v>
      </c>
      <c r="D787" s="118" t="s">
        <v>580</v>
      </c>
    </row>
    <row r="788" spans="1:4" x14ac:dyDescent="0.45">
      <c r="A788" s="118" t="s">
        <v>951</v>
      </c>
      <c r="B788" s="118">
        <v>75</v>
      </c>
      <c r="C788" s="118" t="s">
        <v>972</v>
      </c>
      <c r="D788" s="118" t="s">
        <v>595</v>
      </c>
    </row>
    <row r="789" spans="1:4" x14ac:dyDescent="0.45">
      <c r="A789" s="118" t="s">
        <v>951</v>
      </c>
      <c r="B789" s="118">
        <v>30</v>
      </c>
      <c r="C789" s="118" t="s">
        <v>593</v>
      </c>
      <c r="D789" s="118" t="s">
        <v>595</v>
      </c>
    </row>
    <row r="790" spans="1:4" x14ac:dyDescent="0.45">
      <c r="A790" s="118" t="s">
        <v>953</v>
      </c>
      <c r="B790" s="118">
        <v>75</v>
      </c>
      <c r="C790" s="118" t="s">
        <v>952</v>
      </c>
      <c r="D790" s="118" t="s">
        <v>580</v>
      </c>
    </row>
    <row r="791" spans="1:4" x14ac:dyDescent="0.45">
      <c r="A791" s="118" t="s">
        <v>953</v>
      </c>
      <c r="B791" s="118">
        <v>20</v>
      </c>
      <c r="C791" s="118" t="s">
        <v>1099</v>
      </c>
      <c r="D791" s="118" t="s">
        <v>582</v>
      </c>
    </row>
    <row r="792" spans="1:4" x14ac:dyDescent="0.45">
      <c r="A792" s="118" t="s">
        <v>953</v>
      </c>
      <c r="B792" s="118">
        <v>40</v>
      </c>
      <c r="C792" s="118" t="s">
        <v>1100</v>
      </c>
      <c r="D792" s="118" t="s">
        <v>580</v>
      </c>
    </row>
    <row r="793" spans="1:4" x14ac:dyDescent="0.45">
      <c r="A793" s="118" t="s">
        <v>954</v>
      </c>
      <c r="B793" s="118">
        <v>40</v>
      </c>
      <c r="C793" s="118" t="s">
        <v>1085</v>
      </c>
      <c r="D793" s="118" t="s">
        <v>977</v>
      </c>
    </row>
    <row r="794" spans="1:4" x14ac:dyDescent="0.45">
      <c r="A794" s="118" t="s">
        <v>954</v>
      </c>
      <c r="B794" s="118">
        <v>60</v>
      </c>
      <c r="C794" s="118" t="s">
        <v>1092</v>
      </c>
      <c r="D794" s="118" t="s">
        <v>974</v>
      </c>
    </row>
    <row r="795" spans="1:4" x14ac:dyDescent="0.45">
      <c r="A795" s="118" t="s">
        <v>954</v>
      </c>
      <c r="B795" s="118">
        <v>30</v>
      </c>
      <c r="C795" s="118" t="s">
        <v>593</v>
      </c>
      <c r="D795" s="118" t="s">
        <v>595</v>
      </c>
    </row>
    <row r="796" spans="1:4" x14ac:dyDescent="0.45">
      <c r="A796" s="118" t="s">
        <v>954</v>
      </c>
      <c r="B796" s="118">
        <v>75</v>
      </c>
      <c r="C796" s="118" t="s">
        <v>584</v>
      </c>
      <c r="D796" s="118" t="s">
        <v>587</v>
      </c>
    </row>
    <row r="797" spans="1:4" x14ac:dyDescent="0.45">
      <c r="A797" s="118" t="s">
        <v>954</v>
      </c>
      <c r="B797" s="118">
        <v>50</v>
      </c>
      <c r="C797" s="118" t="s">
        <v>583</v>
      </c>
      <c r="D797" s="118" t="s">
        <v>586</v>
      </c>
    </row>
    <row r="798" spans="1:4" x14ac:dyDescent="0.45">
      <c r="A798" s="118" t="s">
        <v>954</v>
      </c>
      <c r="B798" s="118">
        <v>20</v>
      </c>
      <c r="C798" s="118" t="s">
        <v>1081</v>
      </c>
      <c r="D798" s="118" t="s">
        <v>967</v>
      </c>
    </row>
    <row r="799" spans="1:4" x14ac:dyDescent="0.45">
      <c r="A799" s="118" t="s">
        <v>954</v>
      </c>
      <c r="B799" s="118">
        <v>50</v>
      </c>
      <c r="C799" s="118" t="s">
        <v>955</v>
      </c>
      <c r="D799" s="118" t="s">
        <v>973</v>
      </c>
    </row>
    <row r="800" spans="1:4" x14ac:dyDescent="0.45">
      <c r="A800" s="118" t="s">
        <v>954</v>
      </c>
      <c r="B800" s="118">
        <v>20</v>
      </c>
      <c r="C800" s="118" t="s">
        <v>1101</v>
      </c>
      <c r="D800" s="118" t="s">
        <v>976</v>
      </c>
    </row>
    <row r="802" spans="1:2" x14ac:dyDescent="0.45">
      <c r="A802" s="118" t="s">
        <v>982</v>
      </c>
      <c r="B802" s="118">
        <f>SUM(B2:B800)</f>
        <v>142824</v>
      </c>
    </row>
    <row r="803" spans="1:2" x14ac:dyDescent="0.45">
      <c r="A803" s="118" t="s">
        <v>570</v>
      </c>
      <c r="B803" s="118">
        <v>20028</v>
      </c>
    </row>
    <row r="804" spans="1:2" x14ac:dyDescent="0.45">
      <c r="A804" s="118" t="s">
        <v>574</v>
      </c>
      <c r="B804" s="118">
        <f>B802-B803</f>
        <v>122796</v>
      </c>
    </row>
  </sheetData>
  <pageMargins left="0.7" right="0.7" top="0.75" bottom="0.75" header="0.3" footer="0.3"/>
  <pageSetup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84367-A097-4248-9984-F4697DA02168}">
  <dimension ref="A1:D586"/>
  <sheetViews>
    <sheetView tabSelected="1" topLeftCell="A26" zoomScale="70" zoomScaleNormal="70" workbookViewId="0">
      <selection activeCell="D48" sqref="D48"/>
    </sheetView>
  </sheetViews>
  <sheetFormatPr defaultRowHeight="28.5" x14ac:dyDescent="0.45"/>
  <cols>
    <col min="1" max="1" width="41.140625" style="118" bestFit="1" customWidth="1"/>
    <col min="2" max="2" width="15.28515625" style="118" bestFit="1" customWidth="1"/>
    <col min="3" max="3" width="106.42578125" style="118" bestFit="1" customWidth="1"/>
    <col min="4" max="4" width="115" style="118" customWidth="1"/>
    <col min="5" max="16384" width="9.140625" style="118"/>
  </cols>
  <sheetData>
    <row r="1" spans="1:4" x14ac:dyDescent="0.45">
      <c r="A1" s="118" t="s">
        <v>578</v>
      </c>
    </row>
    <row r="2" spans="1:4" x14ac:dyDescent="0.45">
      <c r="A2" s="167" t="s">
        <v>435</v>
      </c>
      <c r="B2" s="118">
        <v>336</v>
      </c>
      <c r="C2" s="118" t="s">
        <v>579</v>
      </c>
      <c r="D2" s="118" t="s">
        <v>580</v>
      </c>
    </row>
    <row r="3" spans="1:4" x14ac:dyDescent="0.45">
      <c r="A3" s="167" t="s">
        <v>435</v>
      </c>
      <c r="B3" s="118">
        <v>300</v>
      </c>
      <c r="C3" s="118" t="s">
        <v>581</v>
      </c>
      <c r="D3" s="118" t="s">
        <v>585</v>
      </c>
    </row>
    <row r="4" spans="1:4" x14ac:dyDescent="0.45">
      <c r="A4" s="167" t="s">
        <v>435</v>
      </c>
      <c r="B4" s="118">
        <v>100</v>
      </c>
      <c r="C4" s="118" t="s">
        <v>583</v>
      </c>
      <c r="D4" s="118" t="s">
        <v>586</v>
      </c>
    </row>
    <row r="5" spans="1:4" x14ac:dyDescent="0.45">
      <c r="A5" s="167" t="s">
        <v>435</v>
      </c>
      <c r="B5" s="118">
        <v>175</v>
      </c>
      <c r="C5" s="118" t="s">
        <v>584</v>
      </c>
      <c r="D5" s="118" t="s">
        <v>587</v>
      </c>
    </row>
    <row r="6" spans="1:4" x14ac:dyDescent="0.45">
      <c r="A6" s="167" t="s">
        <v>435</v>
      </c>
      <c r="B6" s="118">
        <v>150</v>
      </c>
      <c r="C6" s="118" t="s">
        <v>588</v>
      </c>
      <c r="D6" s="118" t="s">
        <v>582</v>
      </c>
    </row>
    <row r="7" spans="1:4" x14ac:dyDescent="0.45">
      <c r="A7" s="167" t="s">
        <v>435</v>
      </c>
      <c r="B7" s="118">
        <v>500</v>
      </c>
      <c r="C7" s="118" t="s">
        <v>603</v>
      </c>
      <c r="D7" s="118" t="s">
        <v>604</v>
      </c>
    </row>
    <row r="8" spans="1:4" x14ac:dyDescent="0.45">
      <c r="A8" s="167" t="s">
        <v>592</v>
      </c>
      <c r="B8" s="118">
        <f>250+146</f>
        <v>396</v>
      </c>
      <c r="C8" s="118" t="s">
        <v>1140</v>
      </c>
      <c r="D8" s="118" t="s">
        <v>580</v>
      </c>
    </row>
    <row r="9" spans="1:4" x14ac:dyDescent="0.45">
      <c r="A9" s="167" t="s">
        <v>592</v>
      </c>
      <c r="B9" s="118">
        <v>20</v>
      </c>
      <c r="C9" s="118" t="s">
        <v>983</v>
      </c>
      <c r="D9" s="118" t="s">
        <v>596</v>
      </c>
    </row>
    <row r="10" spans="1:4" x14ac:dyDescent="0.45">
      <c r="A10" s="167" t="s">
        <v>592</v>
      </c>
      <c r="B10" s="118">
        <v>755</v>
      </c>
      <c r="C10" s="118" t="s">
        <v>601</v>
      </c>
      <c r="D10" s="118" t="s">
        <v>580</v>
      </c>
    </row>
    <row r="11" spans="1:4" x14ac:dyDescent="0.45">
      <c r="A11" s="167" t="s">
        <v>597</v>
      </c>
      <c r="B11" s="118">
        <v>500</v>
      </c>
      <c r="C11" s="118" t="s">
        <v>598</v>
      </c>
      <c r="D11" s="118" t="s">
        <v>599</v>
      </c>
    </row>
    <row r="12" spans="1:4" x14ac:dyDescent="0.45">
      <c r="A12" s="167" t="s">
        <v>600</v>
      </c>
      <c r="B12" s="118">
        <v>335</v>
      </c>
      <c r="C12" s="118" t="s">
        <v>1141</v>
      </c>
      <c r="D12" s="118" t="s">
        <v>580</v>
      </c>
    </row>
    <row r="13" spans="1:4" x14ac:dyDescent="0.45">
      <c r="A13" s="167" t="s">
        <v>600</v>
      </c>
      <c r="B13" s="118">
        <v>40</v>
      </c>
      <c r="C13" s="118" t="s">
        <v>984</v>
      </c>
      <c r="D13" s="118" t="s">
        <v>580</v>
      </c>
    </row>
    <row r="14" spans="1:4" x14ac:dyDescent="0.45">
      <c r="A14" s="167" t="s">
        <v>602</v>
      </c>
      <c r="B14" s="118">
        <f>10+175+30</f>
        <v>215</v>
      </c>
      <c r="C14" s="118" t="s">
        <v>1142</v>
      </c>
      <c r="D14" s="118" t="s">
        <v>580</v>
      </c>
    </row>
    <row r="15" spans="1:4" x14ac:dyDescent="0.45">
      <c r="A15" s="167" t="s">
        <v>605</v>
      </c>
      <c r="B15" s="118">
        <f>31+150+75+30</f>
        <v>286</v>
      </c>
      <c r="C15" s="118" t="s">
        <v>1143</v>
      </c>
      <c r="D15" s="118" t="s">
        <v>580</v>
      </c>
    </row>
    <row r="16" spans="1:4" x14ac:dyDescent="0.45">
      <c r="A16" s="167" t="s">
        <v>605</v>
      </c>
      <c r="B16" s="118">
        <v>20</v>
      </c>
      <c r="C16" s="118" t="s">
        <v>985</v>
      </c>
      <c r="D16" s="118" t="s">
        <v>608</v>
      </c>
    </row>
    <row r="17" spans="1:4" x14ac:dyDescent="0.45">
      <c r="A17" s="167" t="s">
        <v>605</v>
      </c>
      <c r="B17" s="118">
        <v>500</v>
      </c>
      <c r="C17" s="118" t="s">
        <v>598</v>
      </c>
      <c r="D17" s="118" t="s">
        <v>606</v>
      </c>
    </row>
    <row r="18" spans="1:4" x14ac:dyDescent="0.45">
      <c r="A18" s="167" t="s">
        <v>607</v>
      </c>
      <c r="B18" s="118">
        <f>350+101</f>
        <v>451</v>
      </c>
      <c r="C18" s="118" t="s">
        <v>1144</v>
      </c>
      <c r="D18" s="118" t="s">
        <v>580</v>
      </c>
    </row>
    <row r="19" spans="1:4" x14ac:dyDescent="0.45">
      <c r="A19" s="167" t="s">
        <v>607</v>
      </c>
      <c r="B19" s="118">
        <v>20</v>
      </c>
      <c r="C19" s="118" t="s">
        <v>986</v>
      </c>
      <c r="D19" s="118" t="s">
        <v>609</v>
      </c>
    </row>
    <row r="20" spans="1:4" x14ac:dyDescent="0.45">
      <c r="A20" s="167" t="s">
        <v>607</v>
      </c>
      <c r="B20" s="118">
        <v>40</v>
      </c>
      <c r="C20" s="118" t="s">
        <v>985</v>
      </c>
      <c r="D20" s="118" t="s">
        <v>608</v>
      </c>
    </row>
    <row r="21" spans="1:4" x14ac:dyDescent="0.45">
      <c r="A21" s="167" t="s">
        <v>607</v>
      </c>
      <c r="B21" s="118">
        <v>20</v>
      </c>
      <c r="C21" s="118" t="s">
        <v>983</v>
      </c>
      <c r="D21" s="118" t="s">
        <v>596</v>
      </c>
    </row>
    <row r="22" spans="1:4" x14ac:dyDescent="0.45">
      <c r="A22" s="167" t="s">
        <v>978</v>
      </c>
      <c r="B22" s="118">
        <v>500</v>
      </c>
      <c r="C22" s="118" t="s">
        <v>598</v>
      </c>
      <c r="D22" s="118" t="s">
        <v>599</v>
      </c>
    </row>
    <row r="23" spans="1:4" x14ac:dyDescent="0.45">
      <c r="A23" s="167" t="s">
        <v>978</v>
      </c>
      <c r="B23" s="118">
        <v>40</v>
      </c>
      <c r="C23" s="118" t="s">
        <v>987</v>
      </c>
      <c r="D23" s="118" t="s">
        <v>596</v>
      </c>
    </row>
    <row r="24" spans="1:4" x14ac:dyDescent="0.45">
      <c r="A24" s="167" t="s">
        <v>978</v>
      </c>
      <c r="B24" s="118">
        <v>75</v>
      </c>
      <c r="C24" s="118" t="s">
        <v>583</v>
      </c>
      <c r="D24" s="118" t="s">
        <v>586</v>
      </c>
    </row>
    <row r="25" spans="1:4" x14ac:dyDescent="0.45">
      <c r="A25" s="167" t="s">
        <v>978</v>
      </c>
      <c r="B25" s="118">
        <v>24</v>
      </c>
      <c r="C25" s="118" t="s">
        <v>579</v>
      </c>
      <c r="D25" s="118" t="s">
        <v>580</v>
      </c>
    </row>
    <row r="26" spans="1:4" x14ac:dyDescent="0.45">
      <c r="A26" s="167" t="s">
        <v>610</v>
      </c>
    </row>
    <row r="27" spans="1:4" x14ac:dyDescent="0.45">
      <c r="A27" s="167" t="s">
        <v>611</v>
      </c>
      <c r="B27" s="118">
        <v>50</v>
      </c>
      <c r="C27" s="118" t="s">
        <v>581</v>
      </c>
      <c r="D27" s="118" t="s">
        <v>585</v>
      </c>
    </row>
    <row r="28" spans="1:4" x14ac:dyDescent="0.45">
      <c r="A28" s="167" t="s">
        <v>611</v>
      </c>
      <c r="B28" s="118">
        <v>175</v>
      </c>
      <c r="C28" s="118" t="s">
        <v>584</v>
      </c>
      <c r="D28" s="118" t="s">
        <v>587</v>
      </c>
    </row>
    <row r="29" spans="1:4" x14ac:dyDescent="0.45">
      <c r="A29" s="167" t="s">
        <v>611</v>
      </c>
      <c r="B29" s="118">
        <v>33</v>
      </c>
      <c r="C29" s="118" t="s">
        <v>579</v>
      </c>
      <c r="D29" s="118" t="s">
        <v>580</v>
      </c>
    </row>
    <row r="30" spans="1:4" x14ac:dyDescent="0.45">
      <c r="A30" s="167" t="s">
        <v>611</v>
      </c>
      <c r="B30" s="118">
        <v>125</v>
      </c>
      <c r="C30" s="118" t="s">
        <v>583</v>
      </c>
      <c r="D30" s="118" t="s">
        <v>586</v>
      </c>
    </row>
    <row r="31" spans="1:4" x14ac:dyDescent="0.45">
      <c r="A31" s="167" t="s">
        <v>611</v>
      </c>
      <c r="B31" s="118">
        <f>145+40+75</f>
        <v>260</v>
      </c>
      <c r="C31" s="118" t="s">
        <v>1145</v>
      </c>
      <c r="D31" s="118" t="s">
        <v>609</v>
      </c>
    </row>
    <row r="32" spans="1:4" x14ac:dyDescent="0.45">
      <c r="A32" s="167" t="s">
        <v>611</v>
      </c>
      <c r="B32" s="118">
        <v>30</v>
      </c>
      <c r="C32" s="118" t="s">
        <v>593</v>
      </c>
      <c r="D32" s="118" t="s">
        <v>595</v>
      </c>
    </row>
    <row r="33" spans="1:4" x14ac:dyDescent="0.45">
      <c r="A33" s="167" t="s">
        <v>611</v>
      </c>
      <c r="B33" s="118">
        <v>91</v>
      </c>
      <c r="C33" s="118" t="s">
        <v>1105</v>
      </c>
      <c r="D33" s="118" t="s">
        <v>608</v>
      </c>
    </row>
    <row r="34" spans="1:4" x14ac:dyDescent="0.45">
      <c r="A34" s="167" t="s">
        <v>611</v>
      </c>
      <c r="B34" s="118">
        <v>75</v>
      </c>
      <c r="C34" s="118" t="s">
        <v>612</v>
      </c>
      <c r="D34" s="118" t="s">
        <v>582</v>
      </c>
    </row>
    <row r="35" spans="1:4" x14ac:dyDescent="0.45">
      <c r="A35" s="167" t="s">
        <v>611</v>
      </c>
      <c r="B35" s="118">
        <v>75</v>
      </c>
      <c r="C35" s="118" t="s">
        <v>993</v>
      </c>
      <c r="D35" s="118" t="s">
        <v>595</v>
      </c>
    </row>
    <row r="36" spans="1:4" x14ac:dyDescent="0.45">
      <c r="A36" s="167" t="s">
        <v>611</v>
      </c>
      <c r="B36" s="118">
        <v>1000</v>
      </c>
      <c r="C36" s="118" t="s">
        <v>626</v>
      </c>
      <c r="D36" s="118" t="s">
        <v>627</v>
      </c>
    </row>
    <row r="37" spans="1:4" x14ac:dyDescent="0.45">
      <c r="A37" s="167" t="s">
        <v>611</v>
      </c>
      <c r="B37" s="118">
        <v>2550</v>
      </c>
      <c r="C37" s="118" t="s">
        <v>1106</v>
      </c>
      <c r="D37" s="118" t="s">
        <v>629</v>
      </c>
    </row>
    <row r="38" spans="1:4" x14ac:dyDescent="0.45">
      <c r="A38" s="167" t="s">
        <v>631</v>
      </c>
      <c r="B38" s="118">
        <f>125+80</f>
        <v>205</v>
      </c>
      <c r="C38" s="118" t="s">
        <v>1142</v>
      </c>
      <c r="D38" s="118" t="s">
        <v>580</v>
      </c>
    </row>
    <row r="39" spans="1:4" x14ac:dyDescent="0.45">
      <c r="A39" s="167" t="s">
        <v>631</v>
      </c>
      <c r="B39" s="118">
        <v>30</v>
      </c>
      <c r="C39" s="118" t="s">
        <v>1105</v>
      </c>
      <c r="D39" s="118" t="s">
        <v>608</v>
      </c>
    </row>
    <row r="40" spans="1:4" x14ac:dyDescent="0.45">
      <c r="A40" s="167" t="s">
        <v>631</v>
      </c>
      <c r="B40" s="118">
        <v>500</v>
      </c>
      <c r="C40" s="118" t="s">
        <v>598</v>
      </c>
      <c r="D40" s="118" t="s">
        <v>599</v>
      </c>
    </row>
    <row r="41" spans="1:4" x14ac:dyDescent="0.45">
      <c r="A41" s="167" t="s">
        <v>613</v>
      </c>
      <c r="B41" s="118">
        <v>50</v>
      </c>
      <c r="C41" s="118" t="s">
        <v>988</v>
      </c>
      <c r="D41" s="118" t="s">
        <v>609</v>
      </c>
    </row>
    <row r="42" spans="1:4" x14ac:dyDescent="0.45">
      <c r="A42" s="167" t="s">
        <v>613</v>
      </c>
      <c r="B42" s="118">
        <v>80</v>
      </c>
      <c r="C42" s="118" t="s">
        <v>1107</v>
      </c>
      <c r="D42" s="118" t="s">
        <v>609</v>
      </c>
    </row>
    <row r="43" spans="1:4" x14ac:dyDescent="0.45">
      <c r="A43" s="167" t="s">
        <v>613</v>
      </c>
      <c r="B43" s="118">
        <v>40</v>
      </c>
      <c r="C43" s="118" t="s">
        <v>998</v>
      </c>
      <c r="D43" s="118" t="s">
        <v>608</v>
      </c>
    </row>
    <row r="44" spans="1:4" x14ac:dyDescent="0.45">
      <c r="A44" s="167" t="s">
        <v>614</v>
      </c>
      <c r="B44" s="118">
        <v>175</v>
      </c>
      <c r="C44" s="118" t="s">
        <v>1146</v>
      </c>
      <c r="D44" s="118" t="s">
        <v>580</v>
      </c>
    </row>
    <row r="45" spans="1:4" x14ac:dyDescent="0.45">
      <c r="A45" s="167" t="s">
        <v>614</v>
      </c>
      <c r="B45" s="118">
        <v>70</v>
      </c>
      <c r="C45" s="118" t="s">
        <v>1108</v>
      </c>
      <c r="D45" s="118" t="s">
        <v>580</v>
      </c>
    </row>
    <row r="46" spans="1:4" x14ac:dyDescent="0.45">
      <c r="A46" s="167" t="s">
        <v>615</v>
      </c>
      <c r="B46" s="118">
        <v>20</v>
      </c>
      <c r="C46" s="118" t="s">
        <v>989</v>
      </c>
      <c r="D46" s="118" t="s">
        <v>609</v>
      </c>
    </row>
    <row r="47" spans="1:4" x14ac:dyDescent="0.45">
      <c r="A47" s="167" t="s">
        <v>615</v>
      </c>
      <c r="B47" s="118">
        <v>50</v>
      </c>
      <c r="C47" s="118" t="s">
        <v>583</v>
      </c>
      <c r="D47" s="118" t="s">
        <v>586</v>
      </c>
    </row>
    <row r="48" spans="1:4" x14ac:dyDescent="0.45">
      <c r="A48" s="167" t="s">
        <v>615</v>
      </c>
      <c r="B48" s="118">
        <v>80</v>
      </c>
      <c r="C48" s="118" t="s">
        <v>616</v>
      </c>
      <c r="D48" s="118" t="s">
        <v>627</v>
      </c>
    </row>
    <row r="49" spans="1:4" x14ac:dyDescent="0.45">
      <c r="A49" s="167" t="s">
        <v>615</v>
      </c>
      <c r="B49" s="118">
        <v>25</v>
      </c>
      <c r="C49" s="118" t="s">
        <v>999</v>
      </c>
      <c r="D49" s="118" t="s">
        <v>632</v>
      </c>
    </row>
    <row r="50" spans="1:4" x14ac:dyDescent="0.45">
      <c r="A50" s="167" t="s">
        <v>617</v>
      </c>
      <c r="B50" s="118">
        <v>50</v>
      </c>
      <c r="C50" s="118" t="s">
        <v>988</v>
      </c>
      <c r="D50" s="118" t="s">
        <v>609</v>
      </c>
    </row>
    <row r="51" spans="1:4" x14ac:dyDescent="0.45">
      <c r="A51" s="167" t="s">
        <v>617</v>
      </c>
      <c r="B51" s="118">
        <v>25</v>
      </c>
      <c r="C51" s="118" t="s">
        <v>618</v>
      </c>
      <c r="D51" s="118" t="s">
        <v>580</v>
      </c>
    </row>
    <row r="52" spans="1:4" x14ac:dyDescent="0.45">
      <c r="A52" s="167" t="s">
        <v>619</v>
      </c>
      <c r="B52" s="118">
        <v>25</v>
      </c>
      <c r="C52" s="118" t="s">
        <v>1000</v>
      </c>
      <c r="D52" s="118" t="s">
        <v>781</v>
      </c>
    </row>
    <row r="53" spans="1:4" x14ac:dyDescent="0.45">
      <c r="A53" s="167" t="s">
        <v>619</v>
      </c>
      <c r="B53" s="118">
        <v>15</v>
      </c>
      <c r="C53" s="118" t="s">
        <v>1001</v>
      </c>
      <c r="D53" s="118" t="s">
        <v>636</v>
      </c>
    </row>
    <row r="54" spans="1:4" x14ac:dyDescent="0.45">
      <c r="A54" s="167" t="s">
        <v>619</v>
      </c>
      <c r="B54" s="118">
        <v>25</v>
      </c>
      <c r="C54" s="118" t="s">
        <v>620</v>
      </c>
      <c r="D54" s="167" t="s">
        <v>582</v>
      </c>
    </row>
    <row r="55" spans="1:4" x14ac:dyDescent="0.45">
      <c r="A55" s="167" t="s">
        <v>619</v>
      </c>
      <c r="B55" s="118">
        <v>50</v>
      </c>
      <c r="C55" s="118" t="s">
        <v>621</v>
      </c>
      <c r="D55" s="118" t="s">
        <v>856</v>
      </c>
    </row>
    <row r="56" spans="1:4" x14ac:dyDescent="0.45">
      <c r="A56" s="167" t="s">
        <v>619</v>
      </c>
      <c r="B56" s="118">
        <v>25</v>
      </c>
      <c r="C56" s="118" t="s">
        <v>1002</v>
      </c>
      <c r="D56" s="118" t="s">
        <v>641</v>
      </c>
    </row>
    <row r="57" spans="1:4" x14ac:dyDescent="0.45">
      <c r="A57" s="167" t="s">
        <v>619</v>
      </c>
      <c r="B57" s="118">
        <v>25</v>
      </c>
      <c r="C57" s="118" t="s">
        <v>638</v>
      </c>
      <c r="D57" s="118" t="s">
        <v>642</v>
      </c>
    </row>
    <row r="58" spans="1:4" x14ac:dyDescent="0.45">
      <c r="A58" s="167" t="s">
        <v>619</v>
      </c>
      <c r="B58" s="118">
        <v>30</v>
      </c>
      <c r="C58" s="118" t="s">
        <v>639</v>
      </c>
      <c r="D58" s="118" t="s">
        <v>643</v>
      </c>
    </row>
    <row r="59" spans="1:4" x14ac:dyDescent="0.45">
      <c r="A59" s="167" t="s">
        <v>619</v>
      </c>
      <c r="B59" s="118">
        <v>75</v>
      </c>
      <c r="C59" s="118" t="s">
        <v>637</v>
      </c>
      <c r="D59" s="118" t="s">
        <v>640</v>
      </c>
    </row>
    <row r="60" spans="1:4" x14ac:dyDescent="0.45">
      <c r="A60" s="167" t="s">
        <v>619</v>
      </c>
      <c r="B60" s="118">
        <v>500</v>
      </c>
      <c r="C60" s="118" t="s">
        <v>622</v>
      </c>
      <c r="D60" s="118" t="s">
        <v>625</v>
      </c>
    </row>
    <row r="61" spans="1:4" x14ac:dyDescent="0.45">
      <c r="A61" s="167" t="s">
        <v>619</v>
      </c>
      <c r="B61" s="118">
        <v>1806</v>
      </c>
      <c r="C61" s="118" t="s">
        <v>673</v>
      </c>
      <c r="D61" s="118" t="s">
        <v>580</v>
      </c>
    </row>
    <row r="62" spans="1:4" x14ac:dyDescent="0.45">
      <c r="A62" s="167" t="s">
        <v>623</v>
      </c>
      <c r="B62" s="118">
        <f>75+30</f>
        <v>105</v>
      </c>
      <c r="C62" s="118" t="s">
        <v>1147</v>
      </c>
      <c r="D62" s="118" t="s">
        <v>580</v>
      </c>
    </row>
    <row r="63" spans="1:4" x14ac:dyDescent="0.45">
      <c r="A63" s="167" t="s">
        <v>623</v>
      </c>
      <c r="B63" s="118">
        <v>500</v>
      </c>
      <c r="C63" s="118" t="s">
        <v>624</v>
      </c>
      <c r="D63" s="118" t="s">
        <v>599</v>
      </c>
    </row>
    <row r="64" spans="1:4" x14ac:dyDescent="0.45">
      <c r="A64" s="167" t="s">
        <v>644</v>
      </c>
    </row>
    <row r="65" spans="1:4" x14ac:dyDescent="0.45">
      <c r="A65" s="167" t="s">
        <v>645</v>
      </c>
      <c r="B65" s="118">
        <v>896</v>
      </c>
      <c r="C65" s="118" t="s">
        <v>646</v>
      </c>
      <c r="D65" s="118" t="s">
        <v>580</v>
      </c>
    </row>
    <row r="66" spans="1:4" x14ac:dyDescent="0.45">
      <c r="A66" s="167" t="s">
        <v>439</v>
      </c>
      <c r="B66" s="118">
        <v>25</v>
      </c>
      <c r="C66" s="118" t="s">
        <v>1003</v>
      </c>
      <c r="D66" s="118" t="s">
        <v>609</v>
      </c>
    </row>
    <row r="67" spans="1:4" x14ac:dyDescent="0.45">
      <c r="A67" s="167" t="s">
        <v>647</v>
      </c>
      <c r="B67" s="118">
        <v>25</v>
      </c>
      <c r="C67" s="118" t="s">
        <v>1004</v>
      </c>
      <c r="D67" s="118" t="s">
        <v>769</v>
      </c>
    </row>
    <row r="68" spans="1:4" x14ac:dyDescent="0.45">
      <c r="A68" s="167" t="s">
        <v>647</v>
      </c>
      <c r="B68" s="118">
        <v>250</v>
      </c>
      <c r="C68" s="118" t="s">
        <v>584</v>
      </c>
      <c r="D68" s="118" t="s">
        <v>587</v>
      </c>
    </row>
    <row r="69" spans="1:4" x14ac:dyDescent="0.45">
      <c r="A69" s="167" t="s">
        <v>647</v>
      </c>
      <c r="B69" s="118">
        <v>125</v>
      </c>
      <c r="C69" s="118" t="s">
        <v>583</v>
      </c>
      <c r="D69" s="118" t="s">
        <v>586</v>
      </c>
    </row>
    <row r="70" spans="1:4" x14ac:dyDescent="0.45">
      <c r="A70" s="167" t="s">
        <v>647</v>
      </c>
      <c r="B70" s="118">
        <v>90</v>
      </c>
      <c r="C70" s="118" t="s">
        <v>648</v>
      </c>
      <c r="D70" s="118" t="s">
        <v>595</v>
      </c>
    </row>
    <row r="71" spans="1:4" x14ac:dyDescent="0.45">
      <c r="A71" s="167" t="s">
        <v>647</v>
      </c>
      <c r="B71" s="118">
        <v>75</v>
      </c>
      <c r="C71" s="118" t="s">
        <v>1005</v>
      </c>
      <c r="D71" s="118" t="s">
        <v>771</v>
      </c>
    </row>
    <row r="72" spans="1:4" x14ac:dyDescent="0.45">
      <c r="A72" s="167" t="s">
        <v>647</v>
      </c>
      <c r="B72" s="118">
        <v>100</v>
      </c>
      <c r="C72" s="118" t="s">
        <v>1111</v>
      </c>
      <c r="D72" s="118" t="s">
        <v>772</v>
      </c>
    </row>
    <row r="73" spans="1:4" x14ac:dyDescent="0.45">
      <c r="A73" s="167" t="s">
        <v>647</v>
      </c>
      <c r="B73" s="118">
        <f>814+250</f>
        <v>1064</v>
      </c>
      <c r="C73" s="118" t="s">
        <v>1109</v>
      </c>
      <c r="D73" s="118" t="s">
        <v>582</v>
      </c>
    </row>
    <row r="74" spans="1:4" x14ac:dyDescent="0.45">
      <c r="A74" s="167" t="s">
        <v>647</v>
      </c>
      <c r="B74" s="118">
        <v>60</v>
      </c>
      <c r="C74" s="118" t="s">
        <v>651</v>
      </c>
      <c r="D74" s="118" t="s">
        <v>767</v>
      </c>
    </row>
    <row r="75" spans="1:4" x14ac:dyDescent="0.45">
      <c r="A75" s="167" t="s">
        <v>647</v>
      </c>
      <c r="B75" s="118">
        <v>25</v>
      </c>
      <c r="C75" s="118" t="s">
        <v>1007</v>
      </c>
      <c r="D75" s="118" t="s">
        <v>770</v>
      </c>
    </row>
    <row r="76" spans="1:4" x14ac:dyDescent="0.45">
      <c r="A76" s="167" t="s">
        <v>647</v>
      </c>
      <c r="B76" s="118">
        <v>169</v>
      </c>
      <c r="C76" s="118" t="s">
        <v>579</v>
      </c>
      <c r="D76" s="118" t="s">
        <v>580</v>
      </c>
    </row>
    <row r="77" spans="1:4" x14ac:dyDescent="0.45">
      <c r="A77" s="167" t="s">
        <v>647</v>
      </c>
      <c r="B77" s="118">
        <v>15</v>
      </c>
      <c r="C77" s="118" t="s">
        <v>994</v>
      </c>
      <c r="D77" s="118" t="s">
        <v>608</v>
      </c>
    </row>
    <row r="78" spans="1:4" x14ac:dyDescent="0.45">
      <c r="A78" s="167" t="s">
        <v>647</v>
      </c>
      <c r="B78" s="118">
        <v>20</v>
      </c>
      <c r="C78" s="118" t="s">
        <v>1008</v>
      </c>
      <c r="D78" s="118" t="s">
        <v>773</v>
      </c>
    </row>
    <row r="79" spans="1:4" x14ac:dyDescent="0.45">
      <c r="A79" s="167" t="s">
        <v>647</v>
      </c>
      <c r="B79" s="118">
        <f>50+30+100</f>
        <v>180</v>
      </c>
      <c r="C79" s="118" t="s">
        <v>1110</v>
      </c>
      <c r="D79" s="118" t="s">
        <v>595</v>
      </c>
    </row>
    <row r="80" spans="1:4" x14ac:dyDescent="0.45">
      <c r="A80" s="167" t="s">
        <v>647</v>
      </c>
      <c r="B80" s="118">
        <v>20</v>
      </c>
      <c r="C80" s="118" t="s">
        <v>1009</v>
      </c>
      <c r="D80" s="118" t="s">
        <v>636</v>
      </c>
    </row>
    <row r="81" spans="1:4" x14ac:dyDescent="0.45">
      <c r="A81" s="167" t="s">
        <v>657</v>
      </c>
      <c r="B81" s="118">
        <v>19</v>
      </c>
      <c r="C81" s="118" t="s">
        <v>579</v>
      </c>
      <c r="D81" s="118" t="s">
        <v>580</v>
      </c>
    </row>
    <row r="82" spans="1:4" x14ac:dyDescent="0.45">
      <c r="A82" s="167" t="s">
        <v>657</v>
      </c>
      <c r="B82" s="118">
        <v>25</v>
      </c>
      <c r="C82" s="118" t="s">
        <v>1010</v>
      </c>
      <c r="D82" s="118" t="s">
        <v>609</v>
      </c>
    </row>
    <row r="83" spans="1:4" x14ac:dyDescent="0.45">
      <c r="A83" s="167" t="s">
        <v>658</v>
      </c>
      <c r="B83" s="118">
        <v>223</v>
      </c>
      <c r="C83" s="118" t="s">
        <v>1148</v>
      </c>
      <c r="D83" s="118" t="s">
        <v>580</v>
      </c>
    </row>
    <row r="84" spans="1:4" x14ac:dyDescent="0.45">
      <c r="A84" s="167" t="s">
        <v>658</v>
      </c>
      <c r="B84" s="118">
        <v>95</v>
      </c>
      <c r="C84" s="118" t="s">
        <v>1108</v>
      </c>
      <c r="D84" s="118" t="s">
        <v>609</v>
      </c>
    </row>
    <row r="85" spans="1:4" x14ac:dyDescent="0.45">
      <c r="A85" s="167" t="s">
        <v>658</v>
      </c>
      <c r="B85" s="118">
        <v>20</v>
      </c>
      <c r="C85" s="118" t="s">
        <v>985</v>
      </c>
      <c r="D85" s="118" t="s">
        <v>608</v>
      </c>
    </row>
    <row r="86" spans="1:4" x14ac:dyDescent="0.45">
      <c r="A86" s="167" t="s">
        <v>658</v>
      </c>
      <c r="B86" s="118">
        <v>1523</v>
      </c>
      <c r="C86" s="118" t="s">
        <v>672</v>
      </c>
      <c r="D86" s="118" t="s">
        <v>580</v>
      </c>
    </row>
    <row r="87" spans="1:4" x14ac:dyDescent="0.45">
      <c r="A87" s="167" t="s">
        <v>659</v>
      </c>
      <c r="B87" s="118">
        <v>20</v>
      </c>
      <c r="C87" s="118" t="s">
        <v>983</v>
      </c>
      <c r="D87" s="118" t="s">
        <v>596</v>
      </c>
    </row>
    <row r="88" spans="1:4" x14ac:dyDescent="0.45">
      <c r="A88" s="167" t="s">
        <v>659</v>
      </c>
      <c r="B88" s="118">
        <v>125</v>
      </c>
      <c r="C88" s="118" t="s">
        <v>584</v>
      </c>
      <c r="D88" s="118" t="s">
        <v>587</v>
      </c>
    </row>
    <row r="89" spans="1:4" x14ac:dyDescent="0.45">
      <c r="A89" s="167" t="s">
        <v>659</v>
      </c>
      <c r="B89" s="118">
        <v>25</v>
      </c>
      <c r="C89" s="118" t="s">
        <v>660</v>
      </c>
      <c r="D89" s="118" t="s">
        <v>582</v>
      </c>
    </row>
    <row r="90" spans="1:4" x14ac:dyDescent="0.45">
      <c r="A90" s="167" t="s">
        <v>661</v>
      </c>
      <c r="B90" s="118">
        <v>25</v>
      </c>
      <c r="C90" s="118" t="s">
        <v>1010</v>
      </c>
      <c r="D90" s="118" t="s">
        <v>609</v>
      </c>
    </row>
    <row r="91" spans="1:4" x14ac:dyDescent="0.45">
      <c r="A91" s="167" t="s">
        <v>662</v>
      </c>
      <c r="B91" s="118">
        <v>330</v>
      </c>
      <c r="C91" s="118" t="s">
        <v>1149</v>
      </c>
      <c r="D91" s="118" t="s">
        <v>580</v>
      </c>
    </row>
    <row r="92" spans="1:4" x14ac:dyDescent="0.45">
      <c r="A92" s="167" t="s">
        <v>662</v>
      </c>
      <c r="B92" s="118">
        <v>75</v>
      </c>
      <c r="C92" s="118" t="s">
        <v>988</v>
      </c>
      <c r="D92" s="118" t="s">
        <v>609</v>
      </c>
    </row>
    <row r="93" spans="1:4" x14ac:dyDescent="0.45">
      <c r="A93" s="167" t="s">
        <v>662</v>
      </c>
      <c r="B93" s="118">
        <v>60</v>
      </c>
      <c r="C93" s="118" t="s">
        <v>987</v>
      </c>
      <c r="D93" s="118" t="s">
        <v>596</v>
      </c>
    </row>
    <row r="94" spans="1:4" x14ac:dyDescent="0.45">
      <c r="A94" s="167" t="s">
        <v>662</v>
      </c>
      <c r="B94" s="118">
        <v>100</v>
      </c>
      <c r="C94" s="118" t="s">
        <v>663</v>
      </c>
      <c r="D94" s="118" t="s">
        <v>768</v>
      </c>
    </row>
    <row r="95" spans="1:4" x14ac:dyDescent="0.45">
      <c r="A95" s="167" t="s">
        <v>662</v>
      </c>
      <c r="B95" s="118">
        <v>12</v>
      </c>
      <c r="C95" s="118" t="s">
        <v>664</v>
      </c>
      <c r="D95" s="118" t="s">
        <v>580</v>
      </c>
    </row>
    <row r="96" spans="1:4" x14ac:dyDescent="0.45">
      <c r="A96" s="167" t="s">
        <v>669</v>
      </c>
      <c r="B96" s="118">
        <f>414+350+55+175</f>
        <v>994</v>
      </c>
      <c r="C96" s="118" t="s">
        <v>1150</v>
      </c>
      <c r="D96" s="118" t="s">
        <v>580</v>
      </c>
    </row>
    <row r="97" spans="1:4" x14ac:dyDescent="0.45">
      <c r="A97" s="167" t="s">
        <v>669</v>
      </c>
      <c r="B97" s="118">
        <v>275</v>
      </c>
      <c r="C97" s="118" t="s">
        <v>1151</v>
      </c>
      <c r="D97" s="118" t="s">
        <v>580</v>
      </c>
    </row>
    <row r="98" spans="1:4" x14ac:dyDescent="0.45">
      <c r="A98" s="167" t="s">
        <v>669</v>
      </c>
      <c r="B98" s="118">
        <v>118</v>
      </c>
      <c r="C98" s="118" t="s">
        <v>1113</v>
      </c>
      <c r="D98" s="118" t="s">
        <v>580</v>
      </c>
    </row>
    <row r="99" spans="1:4" x14ac:dyDescent="0.45">
      <c r="A99" s="167" t="s">
        <v>669</v>
      </c>
      <c r="B99" s="118">
        <v>50</v>
      </c>
      <c r="C99" s="118" t="s">
        <v>1112</v>
      </c>
      <c r="D99" s="118" t="s">
        <v>580</v>
      </c>
    </row>
    <row r="100" spans="1:4" x14ac:dyDescent="0.45">
      <c r="A100" s="167" t="s">
        <v>674</v>
      </c>
      <c r="B100" s="118">
        <v>6</v>
      </c>
      <c r="C100" s="118" t="s">
        <v>675</v>
      </c>
      <c r="D100" s="118" t="s">
        <v>627</v>
      </c>
    </row>
    <row r="101" spans="1:4" x14ac:dyDescent="0.45">
      <c r="A101" s="167" t="s">
        <v>674</v>
      </c>
      <c r="B101" s="118">
        <v>20</v>
      </c>
      <c r="C101" s="118" t="s">
        <v>1013</v>
      </c>
      <c r="D101" s="118" t="s">
        <v>608</v>
      </c>
    </row>
    <row r="102" spans="1:4" x14ac:dyDescent="0.45">
      <c r="A102" s="167" t="s">
        <v>674</v>
      </c>
      <c r="B102" s="118">
        <v>50</v>
      </c>
      <c r="C102" s="118" t="s">
        <v>677</v>
      </c>
      <c r="D102" s="118" t="s">
        <v>587</v>
      </c>
    </row>
    <row r="103" spans="1:4" x14ac:dyDescent="0.45">
      <c r="A103" s="167" t="s">
        <v>674</v>
      </c>
      <c r="B103" s="118">
        <v>20</v>
      </c>
      <c r="C103" s="118" t="s">
        <v>1014</v>
      </c>
      <c r="D103" s="118" t="s">
        <v>596</v>
      </c>
    </row>
    <row r="104" spans="1:4" x14ac:dyDescent="0.45">
      <c r="A104" s="167" t="s">
        <v>674</v>
      </c>
      <c r="B104" s="118">
        <v>100</v>
      </c>
      <c r="C104" s="118" t="s">
        <v>1114</v>
      </c>
      <c r="D104" s="118" t="s">
        <v>595</v>
      </c>
    </row>
    <row r="105" spans="1:4" x14ac:dyDescent="0.45">
      <c r="A105" s="167" t="s">
        <v>674</v>
      </c>
      <c r="B105" s="118">
        <v>20</v>
      </c>
      <c r="C105" s="118" t="s">
        <v>1015</v>
      </c>
      <c r="D105" s="118" t="s">
        <v>774</v>
      </c>
    </row>
    <row r="106" spans="1:4" x14ac:dyDescent="0.45">
      <c r="A106" s="167" t="s">
        <v>674</v>
      </c>
      <c r="B106" s="118">
        <v>40</v>
      </c>
      <c r="C106" s="118" t="s">
        <v>1016</v>
      </c>
      <c r="D106" s="118" t="s">
        <v>636</v>
      </c>
    </row>
    <row r="107" spans="1:4" x14ac:dyDescent="0.45">
      <c r="A107" s="167" t="s">
        <v>680</v>
      </c>
      <c r="B107" s="118">
        <v>33</v>
      </c>
      <c r="C107" s="118" t="s">
        <v>579</v>
      </c>
      <c r="D107" s="118" t="s">
        <v>580</v>
      </c>
    </row>
    <row r="108" spans="1:4" x14ac:dyDescent="0.45">
      <c r="A108" s="167" t="s">
        <v>680</v>
      </c>
      <c r="B108" s="118">
        <v>25</v>
      </c>
      <c r="C108" s="118" t="s">
        <v>618</v>
      </c>
      <c r="D108" s="118" t="s">
        <v>586</v>
      </c>
    </row>
    <row r="109" spans="1:4" x14ac:dyDescent="0.45">
      <c r="A109" s="167" t="s">
        <v>680</v>
      </c>
      <c r="B109" s="118">
        <v>75</v>
      </c>
      <c r="C109" s="118" t="s">
        <v>681</v>
      </c>
      <c r="D109" s="118" t="s">
        <v>595</v>
      </c>
    </row>
    <row r="110" spans="1:4" x14ac:dyDescent="0.45">
      <c r="A110" s="167" t="s">
        <v>680</v>
      </c>
      <c r="B110" s="118">
        <v>75</v>
      </c>
      <c r="C110" s="118" t="s">
        <v>1017</v>
      </c>
      <c r="D110" s="118" t="s">
        <v>609</v>
      </c>
    </row>
    <row r="111" spans="1:4" x14ac:dyDescent="0.45">
      <c r="A111" s="167" t="s">
        <v>680</v>
      </c>
      <c r="B111" s="118">
        <v>157</v>
      </c>
      <c r="C111" s="118" t="s">
        <v>1115</v>
      </c>
      <c r="D111" s="118" t="s">
        <v>582</v>
      </c>
    </row>
    <row r="112" spans="1:4" x14ac:dyDescent="0.45">
      <c r="A112" s="167" t="s">
        <v>680</v>
      </c>
      <c r="B112" s="118">
        <v>30</v>
      </c>
      <c r="C112" s="118" t="s">
        <v>684</v>
      </c>
      <c r="D112" s="118" t="s">
        <v>767</v>
      </c>
    </row>
    <row r="113" spans="1:4" x14ac:dyDescent="0.45">
      <c r="A113" s="167" t="s">
        <v>685</v>
      </c>
    </row>
    <row r="114" spans="1:4" x14ac:dyDescent="0.45">
      <c r="A114" s="167" t="s">
        <v>441</v>
      </c>
      <c r="B114" s="118">
        <v>668</v>
      </c>
      <c r="C114" s="118" t="s">
        <v>579</v>
      </c>
      <c r="D114" s="118" t="s">
        <v>580</v>
      </c>
    </row>
    <row r="115" spans="1:4" x14ac:dyDescent="0.45">
      <c r="A115" s="167" t="s">
        <v>441</v>
      </c>
      <c r="B115" s="118">
        <v>600</v>
      </c>
      <c r="C115" s="118" t="s">
        <v>584</v>
      </c>
      <c r="D115" s="167" t="s">
        <v>587</v>
      </c>
    </row>
    <row r="116" spans="1:4" x14ac:dyDescent="0.45">
      <c r="A116" s="167" t="s">
        <v>441</v>
      </c>
      <c r="B116" s="118">
        <v>175</v>
      </c>
      <c r="C116" s="118" t="s">
        <v>583</v>
      </c>
      <c r="D116" s="167" t="s">
        <v>586</v>
      </c>
    </row>
    <row r="117" spans="1:4" x14ac:dyDescent="0.45">
      <c r="A117" s="167" t="s">
        <v>441</v>
      </c>
      <c r="B117" s="118">
        <v>195</v>
      </c>
      <c r="C117" s="118" t="s">
        <v>648</v>
      </c>
      <c r="D117" s="118" t="s">
        <v>595</v>
      </c>
    </row>
    <row r="118" spans="1:4" x14ac:dyDescent="0.45">
      <c r="A118" s="167" t="s">
        <v>441</v>
      </c>
      <c r="B118" s="118">
        <v>375</v>
      </c>
      <c r="C118" s="118" t="s">
        <v>1116</v>
      </c>
      <c r="D118" s="118" t="s">
        <v>609</v>
      </c>
    </row>
    <row r="119" spans="1:4" x14ac:dyDescent="0.45">
      <c r="A119" s="167" t="s">
        <v>441</v>
      </c>
      <c r="B119" s="118">
        <v>125</v>
      </c>
      <c r="C119" s="118" t="s">
        <v>1019</v>
      </c>
      <c r="D119" s="118" t="s">
        <v>775</v>
      </c>
    </row>
    <row r="120" spans="1:4" x14ac:dyDescent="0.45">
      <c r="A120" s="167" t="s">
        <v>441</v>
      </c>
      <c r="B120" s="118">
        <v>100</v>
      </c>
      <c r="C120" s="118" t="s">
        <v>686</v>
      </c>
      <c r="D120" s="118" t="s">
        <v>768</v>
      </c>
    </row>
    <row r="121" spans="1:4" x14ac:dyDescent="0.45">
      <c r="A121" s="167" t="s">
        <v>441</v>
      </c>
      <c r="B121" s="118">
        <v>20</v>
      </c>
      <c r="C121" s="118" t="s">
        <v>985</v>
      </c>
      <c r="D121" s="118" t="s">
        <v>608</v>
      </c>
    </row>
    <row r="122" spans="1:4" x14ac:dyDescent="0.45">
      <c r="A122" s="167" t="s">
        <v>441</v>
      </c>
      <c r="B122" s="118">
        <v>40</v>
      </c>
      <c r="C122" s="118" t="s">
        <v>983</v>
      </c>
      <c r="D122" s="118" t="s">
        <v>596</v>
      </c>
    </row>
    <row r="123" spans="1:4" x14ac:dyDescent="0.45">
      <c r="A123" s="167" t="s">
        <v>565</v>
      </c>
      <c r="B123" s="118">
        <v>244</v>
      </c>
      <c r="C123" s="118" t="s">
        <v>579</v>
      </c>
      <c r="D123" s="118" t="s">
        <v>580</v>
      </c>
    </row>
    <row r="124" spans="1:4" x14ac:dyDescent="0.45">
      <c r="A124" s="167" t="s">
        <v>565</v>
      </c>
      <c r="B124" s="118">
        <v>50</v>
      </c>
      <c r="C124" s="118" t="s">
        <v>584</v>
      </c>
      <c r="D124" s="118" t="s">
        <v>587</v>
      </c>
    </row>
    <row r="125" spans="1:4" x14ac:dyDescent="0.45">
      <c r="A125" s="167" t="s">
        <v>565</v>
      </c>
      <c r="B125" s="118">
        <v>125</v>
      </c>
      <c r="C125" s="118" t="s">
        <v>583</v>
      </c>
      <c r="D125" s="118" t="s">
        <v>586</v>
      </c>
    </row>
    <row r="126" spans="1:4" x14ac:dyDescent="0.45">
      <c r="A126" s="167" t="s">
        <v>565</v>
      </c>
      <c r="B126" s="118">
        <f>50+125</f>
        <v>175</v>
      </c>
      <c r="C126" s="118" t="s">
        <v>1152</v>
      </c>
      <c r="D126" s="118" t="s">
        <v>595</v>
      </c>
    </row>
    <row r="127" spans="1:4" x14ac:dyDescent="0.45">
      <c r="A127" s="167" t="s">
        <v>565</v>
      </c>
      <c r="B127" s="118">
        <v>40</v>
      </c>
      <c r="C127" s="118" t="s">
        <v>1021</v>
      </c>
      <c r="D127" s="118" t="s">
        <v>781</v>
      </c>
    </row>
    <row r="128" spans="1:4" x14ac:dyDescent="0.45">
      <c r="A128" s="167" t="s">
        <v>565</v>
      </c>
      <c r="B128" s="118">
        <v>20</v>
      </c>
      <c r="C128" s="118" t="s">
        <v>1022</v>
      </c>
      <c r="D128" s="118" t="s">
        <v>774</v>
      </c>
    </row>
    <row r="129" spans="1:4" x14ac:dyDescent="0.45">
      <c r="A129" s="167" t="s">
        <v>565</v>
      </c>
      <c r="B129" s="118">
        <v>20</v>
      </c>
      <c r="C129" s="118" t="s">
        <v>983</v>
      </c>
      <c r="D129" s="118" t="s">
        <v>596</v>
      </c>
    </row>
    <row r="130" spans="1:4" x14ac:dyDescent="0.45">
      <c r="A130" s="167" t="s">
        <v>565</v>
      </c>
      <c r="B130" s="118">
        <v>40</v>
      </c>
      <c r="C130" s="118" t="s">
        <v>1153</v>
      </c>
      <c r="D130" s="118" t="s">
        <v>609</v>
      </c>
    </row>
    <row r="131" spans="1:4" x14ac:dyDescent="0.45">
      <c r="A131" s="167" t="s">
        <v>687</v>
      </c>
      <c r="B131" s="118">
        <f>278+25</f>
        <v>303</v>
      </c>
      <c r="C131" s="118" t="s">
        <v>1154</v>
      </c>
      <c r="D131" s="118" t="s">
        <v>580</v>
      </c>
    </row>
    <row r="132" spans="1:4" x14ac:dyDescent="0.45">
      <c r="A132" s="167" t="s">
        <v>687</v>
      </c>
      <c r="B132" s="118">
        <v>125</v>
      </c>
      <c r="C132" s="118" t="s">
        <v>1020</v>
      </c>
      <c r="D132" s="118" t="s">
        <v>609</v>
      </c>
    </row>
    <row r="133" spans="1:4" x14ac:dyDescent="0.45">
      <c r="A133" s="167" t="s">
        <v>687</v>
      </c>
      <c r="B133" s="118">
        <v>50</v>
      </c>
      <c r="C133" s="118" t="s">
        <v>1019</v>
      </c>
      <c r="D133" s="118" t="s">
        <v>784</v>
      </c>
    </row>
    <row r="134" spans="1:4" x14ac:dyDescent="0.45">
      <c r="A134" s="167" t="s">
        <v>445</v>
      </c>
      <c r="B134" s="118">
        <v>100</v>
      </c>
      <c r="C134" s="118" t="s">
        <v>1018</v>
      </c>
      <c r="D134" s="118" t="s">
        <v>609</v>
      </c>
    </row>
    <row r="135" spans="1:4" x14ac:dyDescent="0.45">
      <c r="A135" s="167" t="s">
        <v>694</v>
      </c>
      <c r="B135" s="118">
        <v>20</v>
      </c>
      <c r="C135" s="118" t="s">
        <v>1024</v>
      </c>
      <c r="D135" s="118" t="s">
        <v>636</v>
      </c>
    </row>
    <row r="136" spans="1:4" x14ac:dyDescent="0.45">
      <c r="A136" s="167" t="s">
        <v>694</v>
      </c>
      <c r="B136" s="118">
        <v>2020</v>
      </c>
      <c r="C136" s="118" t="s">
        <v>1155</v>
      </c>
      <c r="D136" s="118" t="s">
        <v>627</v>
      </c>
    </row>
    <row r="137" spans="1:4" x14ac:dyDescent="0.45">
      <c r="A137" s="167" t="s">
        <v>694</v>
      </c>
      <c r="B137" s="118">
        <v>1050</v>
      </c>
      <c r="C137" s="118" t="s">
        <v>1156</v>
      </c>
      <c r="D137" s="118" t="s">
        <v>785</v>
      </c>
    </row>
    <row r="138" spans="1:4" x14ac:dyDescent="0.45">
      <c r="A138" s="167" t="s">
        <v>694</v>
      </c>
      <c r="B138" s="118">
        <v>125</v>
      </c>
      <c r="C138" s="118" t="s">
        <v>1102</v>
      </c>
      <c r="D138" s="118" t="s">
        <v>768</v>
      </c>
    </row>
    <row r="139" spans="1:4" x14ac:dyDescent="0.45">
      <c r="A139" s="167" t="s">
        <v>694</v>
      </c>
      <c r="B139" s="118">
        <v>150</v>
      </c>
      <c r="C139" s="118" t="s">
        <v>1103</v>
      </c>
      <c r="D139" s="118" t="s">
        <v>768</v>
      </c>
    </row>
    <row r="140" spans="1:4" x14ac:dyDescent="0.45">
      <c r="A140" s="167" t="s">
        <v>699</v>
      </c>
      <c r="B140" s="118">
        <f>200+50+275</f>
        <v>525</v>
      </c>
      <c r="C140" s="118" t="s">
        <v>1157</v>
      </c>
      <c r="D140" s="118" t="s">
        <v>580</v>
      </c>
    </row>
    <row r="141" spans="1:4" x14ac:dyDescent="0.45">
      <c r="A141" s="167" t="s">
        <v>699</v>
      </c>
      <c r="B141" s="118">
        <v>25</v>
      </c>
      <c r="C141" s="118" t="s">
        <v>1020</v>
      </c>
      <c r="D141" s="118" t="s">
        <v>609</v>
      </c>
    </row>
    <row r="142" spans="1:4" x14ac:dyDescent="0.45">
      <c r="A142" s="167" t="s">
        <v>700</v>
      </c>
      <c r="B142" s="118">
        <v>20</v>
      </c>
      <c r="C142" s="118" t="s">
        <v>1025</v>
      </c>
      <c r="D142" s="118" t="s">
        <v>596</v>
      </c>
    </row>
    <row r="143" spans="1:4" x14ac:dyDescent="0.45">
      <c r="A143" s="167" t="s">
        <v>700</v>
      </c>
      <c r="B143" s="118">
        <v>50</v>
      </c>
      <c r="C143" s="118" t="s">
        <v>701</v>
      </c>
      <c r="D143" s="118" t="s">
        <v>587</v>
      </c>
    </row>
    <row r="144" spans="1:4" x14ac:dyDescent="0.45">
      <c r="A144" s="167" t="s">
        <v>700</v>
      </c>
      <c r="B144" s="118">
        <v>20</v>
      </c>
      <c r="C144" s="118" t="s">
        <v>1026</v>
      </c>
      <c r="D144" s="118" t="s">
        <v>786</v>
      </c>
    </row>
    <row r="145" spans="1:4" x14ac:dyDescent="0.45">
      <c r="A145" s="167" t="s">
        <v>700</v>
      </c>
      <c r="B145" s="118">
        <v>388</v>
      </c>
      <c r="C145" s="118" t="s">
        <v>1158</v>
      </c>
      <c r="D145" s="118" t="s">
        <v>787</v>
      </c>
    </row>
    <row r="146" spans="1:4" x14ac:dyDescent="0.45">
      <c r="A146" s="167" t="s">
        <v>700</v>
      </c>
      <c r="B146" s="118">
        <v>30</v>
      </c>
      <c r="C146" s="118" t="s">
        <v>704</v>
      </c>
      <c r="D146" s="118" t="s">
        <v>778</v>
      </c>
    </row>
    <row r="147" spans="1:4" x14ac:dyDescent="0.45">
      <c r="A147" s="167" t="s">
        <v>700</v>
      </c>
      <c r="B147" s="118">
        <v>75</v>
      </c>
      <c r="C147" s="118" t="s">
        <v>1027</v>
      </c>
      <c r="D147" s="118" t="s">
        <v>787</v>
      </c>
    </row>
    <row r="148" spans="1:4" x14ac:dyDescent="0.45">
      <c r="A148" s="167" t="s">
        <v>706</v>
      </c>
      <c r="B148" s="118">
        <v>175</v>
      </c>
      <c r="C148" s="118" t="s">
        <v>1028</v>
      </c>
      <c r="D148" s="118" t="s">
        <v>796</v>
      </c>
    </row>
    <row r="149" spans="1:4" x14ac:dyDescent="0.45">
      <c r="A149" s="167" t="s">
        <v>706</v>
      </c>
      <c r="B149" s="118">
        <v>75</v>
      </c>
      <c r="C149" s="118" t="s">
        <v>707</v>
      </c>
      <c r="D149" s="118" t="s">
        <v>788</v>
      </c>
    </row>
    <row r="150" spans="1:4" x14ac:dyDescent="0.45">
      <c r="A150" s="167" t="s">
        <v>706</v>
      </c>
      <c r="B150" s="118">
        <f>40+75</f>
        <v>115</v>
      </c>
      <c r="C150" s="118" t="s">
        <v>1159</v>
      </c>
      <c r="D150" s="118" t="s">
        <v>609</v>
      </c>
    </row>
    <row r="151" spans="1:4" x14ac:dyDescent="0.45">
      <c r="A151" s="167" t="s">
        <v>706</v>
      </c>
      <c r="B151" s="118">
        <v>100</v>
      </c>
      <c r="C151" s="118" t="s">
        <v>584</v>
      </c>
      <c r="D151" s="118" t="s">
        <v>587</v>
      </c>
    </row>
    <row r="152" spans="1:4" x14ac:dyDescent="0.45">
      <c r="A152" s="167" t="s">
        <v>706</v>
      </c>
      <c r="B152" s="118">
        <v>20</v>
      </c>
      <c r="C152" s="118" t="s">
        <v>983</v>
      </c>
      <c r="D152" s="118" t="s">
        <v>596</v>
      </c>
    </row>
    <row r="153" spans="1:4" x14ac:dyDescent="0.45">
      <c r="A153" s="167" t="s">
        <v>706</v>
      </c>
      <c r="B153" s="118">
        <v>54</v>
      </c>
      <c r="C153" s="118" t="s">
        <v>579</v>
      </c>
      <c r="D153" s="118" t="s">
        <v>580</v>
      </c>
    </row>
    <row r="154" spans="1:4" x14ac:dyDescent="0.45">
      <c r="A154" s="167" t="s">
        <v>710</v>
      </c>
      <c r="B154" s="118">
        <v>60</v>
      </c>
      <c r="C154" s="118" t="s">
        <v>708</v>
      </c>
      <c r="D154" s="118" t="s">
        <v>709</v>
      </c>
    </row>
    <row r="155" spans="1:4" x14ac:dyDescent="0.45">
      <c r="A155" s="167" t="s">
        <v>710</v>
      </c>
      <c r="B155" s="118">
        <v>250</v>
      </c>
      <c r="C155" s="118" t="s">
        <v>584</v>
      </c>
      <c r="D155" s="118" t="s">
        <v>587</v>
      </c>
    </row>
    <row r="156" spans="1:4" x14ac:dyDescent="0.45">
      <c r="A156" s="167" t="s">
        <v>710</v>
      </c>
      <c r="B156" s="118">
        <v>175</v>
      </c>
      <c r="C156" s="118" t="s">
        <v>583</v>
      </c>
      <c r="D156" s="118" t="s">
        <v>586</v>
      </c>
    </row>
    <row r="157" spans="1:4" x14ac:dyDescent="0.45">
      <c r="A157" s="167" t="s">
        <v>710</v>
      </c>
      <c r="B157" s="118">
        <v>120</v>
      </c>
      <c r="C157" s="118" t="s">
        <v>1160</v>
      </c>
      <c r="D157" s="118" t="s">
        <v>609</v>
      </c>
    </row>
    <row r="158" spans="1:4" x14ac:dyDescent="0.45">
      <c r="A158" s="167" t="s">
        <v>710</v>
      </c>
      <c r="B158" s="118">
        <v>268</v>
      </c>
      <c r="C158" s="118" t="s">
        <v>714</v>
      </c>
      <c r="D158" s="118" t="s">
        <v>580</v>
      </c>
    </row>
    <row r="159" spans="1:4" x14ac:dyDescent="0.45">
      <c r="A159" s="167" t="s">
        <v>710</v>
      </c>
      <c r="B159" s="118">
        <v>2165</v>
      </c>
      <c r="C159" s="118" t="s">
        <v>673</v>
      </c>
      <c r="D159" s="118" t="s">
        <v>580</v>
      </c>
    </row>
    <row r="160" spans="1:4" x14ac:dyDescent="0.45">
      <c r="A160" s="167" t="s">
        <v>710</v>
      </c>
      <c r="B160" s="118">
        <f>691+55</f>
        <v>746</v>
      </c>
      <c r="C160" s="118" t="s">
        <v>1117</v>
      </c>
      <c r="D160" s="118" t="s">
        <v>595</v>
      </c>
    </row>
    <row r="161" spans="1:4" x14ac:dyDescent="0.45">
      <c r="A161" s="167" t="s">
        <v>710</v>
      </c>
      <c r="B161" s="118">
        <v>80</v>
      </c>
      <c r="C161" s="118" t="s">
        <v>1031</v>
      </c>
      <c r="D161" s="118" t="s">
        <v>781</v>
      </c>
    </row>
    <row r="162" spans="1:4" x14ac:dyDescent="0.45">
      <c r="A162" s="167" t="s">
        <v>710</v>
      </c>
      <c r="B162" s="118">
        <v>40</v>
      </c>
      <c r="C162" s="118" t="s">
        <v>1032</v>
      </c>
      <c r="D162" s="118" t="s">
        <v>636</v>
      </c>
    </row>
    <row r="163" spans="1:4" x14ac:dyDescent="0.45">
      <c r="A163" s="167" t="s">
        <v>710</v>
      </c>
      <c r="B163" s="118">
        <v>20</v>
      </c>
      <c r="C163" s="118" t="s">
        <v>983</v>
      </c>
      <c r="D163" s="118" t="s">
        <v>596</v>
      </c>
    </row>
    <row r="164" spans="1:4" x14ac:dyDescent="0.45">
      <c r="A164" s="167" t="s">
        <v>710</v>
      </c>
      <c r="B164" s="118">
        <v>125</v>
      </c>
      <c r="C164" s="118" t="s">
        <v>1102</v>
      </c>
      <c r="D164" s="118" t="s">
        <v>768</v>
      </c>
    </row>
    <row r="165" spans="1:4" x14ac:dyDescent="0.45">
      <c r="A165" s="167" t="s">
        <v>710</v>
      </c>
      <c r="B165" s="118">
        <v>150</v>
      </c>
      <c r="C165" s="118" t="s">
        <v>1103</v>
      </c>
      <c r="D165" s="118" t="s">
        <v>768</v>
      </c>
    </row>
    <row r="166" spans="1:4" x14ac:dyDescent="0.45">
      <c r="A166" s="167" t="s">
        <v>716</v>
      </c>
    </row>
    <row r="167" spans="1:4" x14ac:dyDescent="0.45">
      <c r="A167" s="167" t="s">
        <v>454</v>
      </c>
      <c r="B167" s="118">
        <v>7</v>
      </c>
      <c r="C167" s="118" t="s">
        <v>579</v>
      </c>
      <c r="D167" s="118" t="s">
        <v>580</v>
      </c>
    </row>
    <row r="168" spans="1:4" x14ac:dyDescent="0.45">
      <c r="A168" s="167" t="s">
        <v>454</v>
      </c>
      <c r="B168" s="118">
        <v>20</v>
      </c>
      <c r="C168" s="118" t="s">
        <v>985</v>
      </c>
      <c r="D168" s="118" t="s">
        <v>608</v>
      </c>
    </row>
    <row r="169" spans="1:4" x14ac:dyDescent="0.45">
      <c r="A169" s="167" t="s">
        <v>454</v>
      </c>
      <c r="B169" s="118">
        <v>50</v>
      </c>
      <c r="C169" s="118" t="s">
        <v>584</v>
      </c>
      <c r="D169" s="118" t="s">
        <v>587</v>
      </c>
    </row>
    <row r="170" spans="1:4" x14ac:dyDescent="0.45">
      <c r="A170" s="167" t="s">
        <v>454</v>
      </c>
      <c r="B170" s="118">
        <v>25</v>
      </c>
      <c r="C170" s="118" t="s">
        <v>1033</v>
      </c>
      <c r="D170" s="118" t="s">
        <v>979</v>
      </c>
    </row>
    <row r="171" spans="1:4" x14ac:dyDescent="0.45">
      <c r="A171" s="167" t="s">
        <v>717</v>
      </c>
      <c r="B171" s="118">
        <v>40</v>
      </c>
      <c r="C171" s="118" t="s">
        <v>985</v>
      </c>
      <c r="D171" s="118" t="s">
        <v>608</v>
      </c>
    </row>
    <row r="172" spans="1:4" x14ac:dyDescent="0.45">
      <c r="A172" s="167" t="s">
        <v>717</v>
      </c>
      <c r="B172" s="118">
        <f>75+50</f>
        <v>125</v>
      </c>
      <c r="C172" s="118" t="s">
        <v>1121</v>
      </c>
      <c r="D172" s="118" t="s">
        <v>771</v>
      </c>
    </row>
    <row r="173" spans="1:4" x14ac:dyDescent="0.45">
      <c r="A173" s="167" t="s">
        <v>717</v>
      </c>
      <c r="B173" s="118">
        <v>180</v>
      </c>
      <c r="C173" s="118" t="s">
        <v>1161</v>
      </c>
      <c r="D173" s="118" t="s">
        <v>580</v>
      </c>
    </row>
    <row r="174" spans="1:4" x14ac:dyDescent="0.45">
      <c r="A174" s="167" t="s">
        <v>717</v>
      </c>
      <c r="B174" s="118">
        <v>1500</v>
      </c>
      <c r="C174" s="118" t="s">
        <v>721</v>
      </c>
      <c r="D174" s="118" t="s">
        <v>629</v>
      </c>
    </row>
    <row r="175" spans="1:4" x14ac:dyDescent="0.45">
      <c r="A175" s="167" t="s">
        <v>718</v>
      </c>
      <c r="B175" s="118">
        <v>100</v>
      </c>
      <c r="C175" s="118" t="s">
        <v>584</v>
      </c>
      <c r="D175" s="118" t="s">
        <v>587</v>
      </c>
    </row>
    <row r="176" spans="1:4" x14ac:dyDescent="0.45">
      <c r="A176" s="167" t="s">
        <v>718</v>
      </c>
      <c r="B176" s="118">
        <v>90</v>
      </c>
      <c r="C176" s="118" t="s">
        <v>719</v>
      </c>
      <c r="D176" s="118" t="s">
        <v>595</v>
      </c>
    </row>
    <row r="177" spans="1:4" x14ac:dyDescent="0.45">
      <c r="A177" s="167" t="s">
        <v>718</v>
      </c>
      <c r="B177" s="118">
        <v>80</v>
      </c>
      <c r="C177" s="118" t="s">
        <v>579</v>
      </c>
      <c r="D177" s="118" t="s">
        <v>580</v>
      </c>
    </row>
    <row r="178" spans="1:4" x14ac:dyDescent="0.45">
      <c r="A178" s="167" t="s">
        <v>718</v>
      </c>
      <c r="B178" s="118">
        <v>20</v>
      </c>
      <c r="C178" s="118" t="s">
        <v>1036</v>
      </c>
      <c r="D178" s="118" t="s">
        <v>582</v>
      </c>
    </row>
    <row r="179" spans="1:4" x14ac:dyDescent="0.45">
      <c r="A179" s="167" t="s">
        <v>718</v>
      </c>
      <c r="B179" s="118">
        <v>20</v>
      </c>
      <c r="C179" s="118" t="s">
        <v>985</v>
      </c>
      <c r="D179" s="118" t="s">
        <v>608</v>
      </c>
    </row>
    <row r="180" spans="1:4" x14ac:dyDescent="0.45">
      <c r="A180" s="167" t="s">
        <v>718</v>
      </c>
      <c r="B180" s="118">
        <v>75</v>
      </c>
      <c r="C180" s="118" t="s">
        <v>720</v>
      </c>
      <c r="D180" s="118" t="s">
        <v>629</v>
      </c>
    </row>
    <row r="181" spans="1:4" x14ac:dyDescent="0.45">
      <c r="A181" s="167" t="s">
        <v>722</v>
      </c>
      <c r="B181" s="118">
        <v>25</v>
      </c>
      <c r="C181" s="118" t="s">
        <v>1037</v>
      </c>
      <c r="D181" s="118" t="s">
        <v>790</v>
      </c>
    </row>
    <row r="182" spans="1:4" x14ac:dyDescent="0.45">
      <c r="A182" s="167" t="s">
        <v>723</v>
      </c>
      <c r="B182" s="118">
        <v>75</v>
      </c>
      <c r="C182" s="118" t="s">
        <v>1035</v>
      </c>
      <c r="D182" s="118" t="s">
        <v>771</v>
      </c>
    </row>
    <row r="183" spans="1:4" x14ac:dyDescent="0.45">
      <c r="A183" s="167" t="s">
        <v>723</v>
      </c>
      <c r="B183" s="118">
        <v>75</v>
      </c>
      <c r="C183" s="118" t="s">
        <v>1038</v>
      </c>
      <c r="D183" s="118" t="s">
        <v>580</v>
      </c>
    </row>
    <row r="184" spans="1:4" x14ac:dyDescent="0.45">
      <c r="A184" s="167" t="s">
        <v>724</v>
      </c>
      <c r="B184" s="118">
        <v>100</v>
      </c>
      <c r="C184" s="118" t="s">
        <v>1121</v>
      </c>
      <c r="D184" s="118" t="s">
        <v>771</v>
      </c>
    </row>
    <row r="185" spans="1:4" x14ac:dyDescent="0.45">
      <c r="A185" s="167" t="s">
        <v>724</v>
      </c>
      <c r="B185" s="118">
        <v>40</v>
      </c>
      <c r="C185" s="118" t="s">
        <v>1122</v>
      </c>
      <c r="D185" s="118" t="s">
        <v>791</v>
      </c>
    </row>
    <row r="186" spans="1:4" x14ac:dyDescent="0.45">
      <c r="A186" s="167" t="s">
        <v>724</v>
      </c>
      <c r="B186" s="118">
        <f>495+260</f>
        <v>755</v>
      </c>
      <c r="C186" s="118" t="s">
        <v>1162</v>
      </c>
      <c r="D186" s="118" t="s">
        <v>580</v>
      </c>
    </row>
    <row r="187" spans="1:4" x14ac:dyDescent="0.45">
      <c r="A187" s="167" t="s">
        <v>724</v>
      </c>
      <c r="B187" s="118">
        <v>500</v>
      </c>
      <c r="C187" s="118" t="s">
        <v>598</v>
      </c>
      <c r="D187" s="118" t="s">
        <v>599</v>
      </c>
    </row>
    <row r="188" spans="1:4" x14ac:dyDescent="0.45">
      <c r="A188" s="167" t="s">
        <v>727</v>
      </c>
      <c r="B188" s="118">
        <v>100</v>
      </c>
      <c r="C188" s="118" t="s">
        <v>1038</v>
      </c>
      <c r="D188" s="118" t="s">
        <v>580</v>
      </c>
    </row>
    <row r="189" spans="1:4" x14ac:dyDescent="0.45">
      <c r="A189" s="167" t="s">
        <v>727</v>
      </c>
      <c r="B189" s="118">
        <v>150</v>
      </c>
      <c r="C189" s="118" t="s">
        <v>1121</v>
      </c>
      <c r="D189" s="118" t="s">
        <v>771</v>
      </c>
    </row>
    <row r="190" spans="1:4" x14ac:dyDescent="0.45">
      <c r="A190" s="167" t="s">
        <v>727</v>
      </c>
      <c r="B190" s="118">
        <v>85</v>
      </c>
      <c r="C190" s="118" t="s">
        <v>1142</v>
      </c>
      <c r="D190" s="118" t="s">
        <v>580</v>
      </c>
    </row>
    <row r="191" spans="1:4" x14ac:dyDescent="0.45">
      <c r="A191" s="167" t="s">
        <v>792</v>
      </c>
      <c r="B191" s="118">
        <v>150</v>
      </c>
      <c r="C191" s="118" t="s">
        <v>1121</v>
      </c>
      <c r="D191" s="167" t="s">
        <v>771</v>
      </c>
    </row>
    <row r="192" spans="1:4" x14ac:dyDescent="0.45">
      <c r="A192" s="167" t="s">
        <v>792</v>
      </c>
      <c r="B192" s="118">
        <f>130+150</f>
        <v>280</v>
      </c>
      <c r="C192" s="118" t="s">
        <v>1163</v>
      </c>
      <c r="D192" s="167" t="s">
        <v>580</v>
      </c>
    </row>
    <row r="193" spans="1:4" x14ac:dyDescent="0.45">
      <c r="A193" s="167" t="s">
        <v>792</v>
      </c>
      <c r="B193" s="118">
        <v>20</v>
      </c>
      <c r="C193" s="118" t="s">
        <v>1040</v>
      </c>
      <c r="D193" s="118" t="s">
        <v>794</v>
      </c>
    </row>
    <row r="194" spans="1:4" x14ac:dyDescent="0.45">
      <c r="A194" s="167" t="s">
        <v>792</v>
      </c>
      <c r="B194" s="118">
        <v>50</v>
      </c>
      <c r="C194" s="118" t="s">
        <v>1041</v>
      </c>
      <c r="D194" s="118" t="s">
        <v>795</v>
      </c>
    </row>
    <row r="195" spans="1:4" x14ac:dyDescent="0.45">
      <c r="A195" s="167" t="s">
        <v>792</v>
      </c>
      <c r="B195" s="118">
        <f>100+50+75</f>
        <v>225</v>
      </c>
      <c r="C195" s="118" t="s">
        <v>1164</v>
      </c>
      <c r="D195" s="118" t="s">
        <v>793</v>
      </c>
    </row>
    <row r="196" spans="1:4" x14ac:dyDescent="0.45">
      <c r="A196" s="167" t="s">
        <v>730</v>
      </c>
      <c r="B196" s="118">
        <v>400</v>
      </c>
      <c r="C196" s="118" t="s">
        <v>601</v>
      </c>
      <c r="D196" s="118" t="s">
        <v>580</v>
      </c>
    </row>
    <row r="197" spans="1:4" x14ac:dyDescent="0.45">
      <c r="A197" s="167" t="s">
        <v>730</v>
      </c>
      <c r="B197" s="118">
        <v>20</v>
      </c>
      <c r="C197" s="118" t="s">
        <v>985</v>
      </c>
      <c r="D197" s="118" t="s">
        <v>608</v>
      </c>
    </row>
    <row r="198" spans="1:4" x14ac:dyDescent="0.45">
      <c r="A198" s="167" t="s">
        <v>730</v>
      </c>
      <c r="B198" s="118">
        <v>180</v>
      </c>
      <c r="C198" s="118" t="s">
        <v>731</v>
      </c>
      <c r="D198" s="118" t="s">
        <v>580</v>
      </c>
    </row>
    <row r="199" spans="1:4" x14ac:dyDescent="0.45">
      <c r="A199" s="167" t="s">
        <v>730</v>
      </c>
      <c r="B199" s="118">
        <v>100</v>
      </c>
      <c r="C199" s="118" t="s">
        <v>583</v>
      </c>
      <c r="D199" s="118" t="s">
        <v>586</v>
      </c>
    </row>
    <row r="200" spans="1:4" x14ac:dyDescent="0.45">
      <c r="A200" s="167" t="s">
        <v>730</v>
      </c>
      <c r="B200" s="118">
        <v>100</v>
      </c>
      <c r="C200" s="118" t="s">
        <v>581</v>
      </c>
      <c r="D200" s="118" t="s">
        <v>585</v>
      </c>
    </row>
    <row r="201" spans="1:4" x14ac:dyDescent="0.45">
      <c r="A201" s="167" t="s">
        <v>730</v>
      </c>
      <c r="B201" s="118">
        <v>30</v>
      </c>
      <c r="C201" s="118" t="s">
        <v>725</v>
      </c>
      <c r="D201" s="118" t="s">
        <v>595</v>
      </c>
    </row>
    <row r="202" spans="1:4" x14ac:dyDescent="0.45">
      <c r="A202" s="167" t="s">
        <v>730</v>
      </c>
      <c r="B202" s="118">
        <v>50</v>
      </c>
      <c r="C202" s="118" t="s">
        <v>1035</v>
      </c>
      <c r="D202" s="118" t="s">
        <v>771</v>
      </c>
    </row>
    <row r="203" spans="1:4" x14ac:dyDescent="0.45">
      <c r="A203" s="167" t="s">
        <v>456</v>
      </c>
      <c r="B203" s="118">
        <v>815</v>
      </c>
      <c r="C203" s="118" t="s">
        <v>1123</v>
      </c>
      <c r="D203" s="118" t="s">
        <v>580</v>
      </c>
    </row>
    <row r="204" spans="1:4" x14ac:dyDescent="0.45">
      <c r="A204" s="167" t="s">
        <v>456</v>
      </c>
      <c r="B204" s="118">
        <v>500</v>
      </c>
      <c r="C204" s="118" t="s">
        <v>734</v>
      </c>
      <c r="D204" s="118" t="s">
        <v>599</v>
      </c>
    </row>
    <row r="205" spans="1:4" x14ac:dyDescent="0.45">
      <c r="A205" s="167" t="s">
        <v>735</v>
      </c>
    </row>
    <row r="206" spans="1:4" x14ac:dyDescent="0.45">
      <c r="A206" s="167" t="s">
        <v>446</v>
      </c>
      <c r="B206" s="118">
        <v>100</v>
      </c>
      <c r="C206" s="118" t="s">
        <v>581</v>
      </c>
      <c r="D206" s="118" t="s">
        <v>585</v>
      </c>
    </row>
    <row r="207" spans="1:4" x14ac:dyDescent="0.45">
      <c r="A207" s="167" t="s">
        <v>446</v>
      </c>
      <c r="B207" s="118">
        <f>75+50</f>
        <v>125</v>
      </c>
      <c r="C207" s="118" t="s">
        <v>1165</v>
      </c>
      <c r="D207" s="118" t="s">
        <v>609</v>
      </c>
    </row>
    <row r="208" spans="1:4" x14ac:dyDescent="0.45">
      <c r="A208" s="167" t="s">
        <v>446</v>
      </c>
      <c r="B208" s="118">
        <v>50</v>
      </c>
      <c r="C208" s="118" t="s">
        <v>584</v>
      </c>
      <c r="D208" s="118" t="s">
        <v>587</v>
      </c>
    </row>
    <row r="209" spans="1:4" x14ac:dyDescent="0.45">
      <c r="A209" s="167" t="s">
        <v>446</v>
      </c>
      <c r="B209" s="118">
        <v>90</v>
      </c>
      <c r="C209" s="118" t="s">
        <v>593</v>
      </c>
      <c r="D209" s="118" t="s">
        <v>595</v>
      </c>
    </row>
    <row r="210" spans="1:4" x14ac:dyDescent="0.45">
      <c r="A210" s="167" t="s">
        <v>737</v>
      </c>
      <c r="B210" s="118">
        <f>49+15</f>
        <v>64</v>
      </c>
      <c r="C210" s="118" t="s">
        <v>1125</v>
      </c>
      <c r="D210" s="118" t="s">
        <v>580</v>
      </c>
    </row>
    <row r="211" spans="1:4" x14ac:dyDescent="0.45">
      <c r="A211" s="167" t="s">
        <v>737</v>
      </c>
      <c r="B211" s="118">
        <v>125</v>
      </c>
      <c r="C211" s="118" t="s">
        <v>1104</v>
      </c>
      <c r="D211" s="118" t="s">
        <v>582</v>
      </c>
    </row>
    <row r="212" spans="1:4" x14ac:dyDescent="0.45">
      <c r="A212" s="167" t="s">
        <v>737</v>
      </c>
      <c r="B212" s="118">
        <v>100</v>
      </c>
      <c r="C212" s="118" t="s">
        <v>1102</v>
      </c>
      <c r="D212" s="118" t="s">
        <v>582</v>
      </c>
    </row>
    <row r="213" spans="1:4" x14ac:dyDescent="0.45">
      <c r="A213" s="167" t="s">
        <v>737</v>
      </c>
      <c r="B213" s="118">
        <v>25</v>
      </c>
      <c r="C213" s="118" t="s">
        <v>1043</v>
      </c>
      <c r="D213" s="118" t="s">
        <v>609</v>
      </c>
    </row>
    <row r="214" spans="1:4" x14ac:dyDescent="0.45">
      <c r="A214" s="167" t="s">
        <v>737</v>
      </c>
      <c r="B214" s="118">
        <v>300</v>
      </c>
      <c r="C214" s="118" t="s">
        <v>581</v>
      </c>
      <c r="D214" s="118" t="s">
        <v>585</v>
      </c>
    </row>
    <row r="215" spans="1:4" x14ac:dyDescent="0.45">
      <c r="A215" s="167" t="s">
        <v>737</v>
      </c>
      <c r="B215" s="118">
        <v>397</v>
      </c>
      <c r="C215" s="118" t="s">
        <v>1166</v>
      </c>
      <c r="D215" s="118" t="s">
        <v>627</v>
      </c>
    </row>
    <row r="216" spans="1:4" x14ac:dyDescent="0.45">
      <c r="A216" s="167" t="s">
        <v>737</v>
      </c>
      <c r="B216" s="118">
        <v>125</v>
      </c>
      <c r="C216" s="118" t="s">
        <v>583</v>
      </c>
      <c r="D216" s="118" t="s">
        <v>586</v>
      </c>
    </row>
    <row r="217" spans="1:4" x14ac:dyDescent="0.45">
      <c r="A217" s="167" t="s">
        <v>737</v>
      </c>
      <c r="B217" s="118">
        <v>1500</v>
      </c>
      <c r="C217" s="118" t="s">
        <v>740</v>
      </c>
      <c r="D217" s="118" t="s">
        <v>782</v>
      </c>
    </row>
    <row r="218" spans="1:4" x14ac:dyDescent="0.45">
      <c r="A218" s="167" t="s">
        <v>737</v>
      </c>
      <c r="B218" s="118">
        <v>75</v>
      </c>
      <c r="C218" s="118" t="s">
        <v>676</v>
      </c>
      <c r="D218" s="118" t="s">
        <v>587</v>
      </c>
    </row>
    <row r="219" spans="1:4" x14ac:dyDescent="0.45">
      <c r="A219" s="167" t="s">
        <v>737</v>
      </c>
      <c r="B219" s="118">
        <v>30</v>
      </c>
      <c r="C219" s="118" t="s">
        <v>593</v>
      </c>
      <c r="D219" s="118" t="s">
        <v>595</v>
      </c>
    </row>
    <row r="220" spans="1:4" x14ac:dyDescent="0.45">
      <c r="A220" s="167" t="s">
        <v>743</v>
      </c>
      <c r="B220" s="118">
        <v>76</v>
      </c>
      <c r="C220" s="118" t="s">
        <v>738</v>
      </c>
      <c r="D220" s="118" t="s">
        <v>580</v>
      </c>
    </row>
    <row r="221" spans="1:4" x14ac:dyDescent="0.45">
      <c r="A221" s="167" t="s">
        <v>743</v>
      </c>
      <c r="B221" s="118">
        <v>50</v>
      </c>
      <c r="C221" s="118" t="s">
        <v>1124</v>
      </c>
      <c r="D221" s="118" t="s">
        <v>582</v>
      </c>
    </row>
    <row r="222" spans="1:4" x14ac:dyDescent="0.45">
      <c r="A222" s="167" t="s">
        <v>743</v>
      </c>
      <c r="B222" s="118">
        <v>200</v>
      </c>
      <c r="C222" s="118" t="s">
        <v>1102</v>
      </c>
      <c r="D222" s="118" t="s">
        <v>582</v>
      </c>
    </row>
    <row r="223" spans="1:4" x14ac:dyDescent="0.45">
      <c r="A223" s="167" t="s">
        <v>744</v>
      </c>
      <c r="B223" s="118">
        <v>50</v>
      </c>
      <c r="C223" s="118" t="s">
        <v>1019</v>
      </c>
      <c r="D223" s="118" t="s">
        <v>775</v>
      </c>
    </row>
    <row r="224" spans="1:4" x14ac:dyDescent="0.45">
      <c r="A224" s="167" t="s">
        <v>744</v>
      </c>
      <c r="B224" s="118">
        <v>25</v>
      </c>
      <c r="C224" s="118" t="s">
        <v>1043</v>
      </c>
      <c r="D224" s="118" t="s">
        <v>609</v>
      </c>
    </row>
    <row r="225" spans="1:4" x14ac:dyDescent="0.45">
      <c r="A225" s="167" t="s">
        <v>744</v>
      </c>
      <c r="B225" s="118">
        <v>125</v>
      </c>
      <c r="C225" s="118" t="s">
        <v>581</v>
      </c>
      <c r="D225" s="118" t="s">
        <v>585</v>
      </c>
    </row>
    <row r="226" spans="1:4" x14ac:dyDescent="0.45">
      <c r="A226" s="167" t="s">
        <v>744</v>
      </c>
      <c r="B226" s="118">
        <v>175</v>
      </c>
      <c r="C226" s="118" t="s">
        <v>584</v>
      </c>
      <c r="D226" s="118" t="s">
        <v>587</v>
      </c>
    </row>
    <row r="227" spans="1:4" x14ac:dyDescent="0.45">
      <c r="A227" s="167" t="s">
        <v>744</v>
      </c>
      <c r="B227" s="118">
        <v>42</v>
      </c>
      <c r="C227" s="118" t="s">
        <v>579</v>
      </c>
      <c r="D227" s="118" t="s">
        <v>580</v>
      </c>
    </row>
    <row r="228" spans="1:4" x14ac:dyDescent="0.45">
      <c r="A228" s="167" t="s">
        <v>744</v>
      </c>
      <c r="B228" s="118">
        <v>50</v>
      </c>
      <c r="C228" s="118" t="s">
        <v>1126</v>
      </c>
      <c r="D228" s="118" t="s">
        <v>783</v>
      </c>
    </row>
    <row r="229" spans="1:4" x14ac:dyDescent="0.45">
      <c r="A229" s="167" t="s">
        <v>747</v>
      </c>
      <c r="B229" s="118">
        <v>55</v>
      </c>
      <c r="C229" s="118" t="s">
        <v>579</v>
      </c>
      <c r="D229" s="118" t="s">
        <v>580</v>
      </c>
    </row>
    <row r="230" spans="1:4" x14ac:dyDescent="0.45">
      <c r="A230" s="167" t="s">
        <v>747</v>
      </c>
      <c r="B230" s="118">
        <v>50</v>
      </c>
      <c r="C230" s="118" t="s">
        <v>584</v>
      </c>
      <c r="D230" s="118" t="s">
        <v>587</v>
      </c>
    </row>
    <row r="231" spans="1:4" x14ac:dyDescent="0.45">
      <c r="A231" s="167" t="s">
        <v>747</v>
      </c>
      <c r="B231" s="118">
        <v>100</v>
      </c>
      <c r="C231" s="118" t="s">
        <v>583</v>
      </c>
      <c r="D231" s="118" t="s">
        <v>586</v>
      </c>
    </row>
    <row r="232" spans="1:4" x14ac:dyDescent="0.45">
      <c r="A232" s="167" t="s">
        <v>747</v>
      </c>
      <c r="B232" s="118">
        <v>30</v>
      </c>
      <c r="C232" s="118" t="s">
        <v>593</v>
      </c>
      <c r="D232" s="118" t="s">
        <v>595</v>
      </c>
    </row>
    <row r="233" spans="1:4" x14ac:dyDescent="0.45">
      <c r="A233" s="167" t="s">
        <v>747</v>
      </c>
      <c r="B233" s="118">
        <v>150</v>
      </c>
      <c r="C233" s="118" t="s">
        <v>581</v>
      </c>
      <c r="D233" s="118" t="s">
        <v>585</v>
      </c>
    </row>
    <row r="234" spans="1:4" x14ac:dyDescent="0.45">
      <c r="A234" s="167" t="s">
        <v>747</v>
      </c>
      <c r="B234" s="118">
        <v>2148</v>
      </c>
      <c r="C234" s="118" t="s">
        <v>672</v>
      </c>
      <c r="D234" s="118" t="s">
        <v>580</v>
      </c>
    </row>
    <row r="235" spans="1:4" x14ac:dyDescent="0.45">
      <c r="A235" s="167" t="s">
        <v>748</v>
      </c>
      <c r="B235" s="118">
        <v>50</v>
      </c>
      <c r="C235" s="118" t="s">
        <v>1043</v>
      </c>
      <c r="D235" s="118" t="s">
        <v>781</v>
      </c>
    </row>
    <row r="236" spans="1:4" x14ac:dyDescent="0.45">
      <c r="A236" s="167" t="s">
        <v>748</v>
      </c>
      <c r="B236" s="118">
        <v>1500</v>
      </c>
      <c r="C236" s="118" t="s">
        <v>749</v>
      </c>
      <c r="D236" s="118" t="s">
        <v>599</v>
      </c>
    </row>
    <row r="237" spans="1:4" x14ac:dyDescent="0.45">
      <c r="A237" s="167" t="s">
        <v>750</v>
      </c>
      <c r="B237" s="118">
        <v>300</v>
      </c>
      <c r="C237" s="118" t="s">
        <v>581</v>
      </c>
      <c r="D237" s="118" t="s">
        <v>585</v>
      </c>
    </row>
    <row r="238" spans="1:4" x14ac:dyDescent="0.45">
      <c r="A238" s="167" t="s">
        <v>750</v>
      </c>
      <c r="B238" s="118">
        <v>275</v>
      </c>
      <c r="C238" s="118" t="s">
        <v>584</v>
      </c>
      <c r="D238" s="118" t="s">
        <v>587</v>
      </c>
    </row>
    <row r="239" spans="1:4" x14ac:dyDescent="0.45">
      <c r="A239" s="167" t="s">
        <v>750</v>
      </c>
      <c r="B239" s="118">
        <v>120</v>
      </c>
      <c r="C239" s="118" t="s">
        <v>648</v>
      </c>
      <c r="D239" s="118" t="s">
        <v>595</v>
      </c>
    </row>
    <row r="240" spans="1:4" x14ac:dyDescent="0.45">
      <c r="A240" s="167" t="s">
        <v>750</v>
      </c>
      <c r="B240" s="118">
        <v>75</v>
      </c>
      <c r="C240" s="118" t="s">
        <v>990</v>
      </c>
      <c r="D240" s="118" t="s">
        <v>609</v>
      </c>
    </row>
    <row r="241" spans="1:4" x14ac:dyDescent="0.45">
      <c r="A241" s="167" t="s">
        <v>750</v>
      </c>
      <c r="B241" s="118">
        <f>45+276</f>
        <v>321</v>
      </c>
      <c r="C241" s="118" t="s">
        <v>579</v>
      </c>
      <c r="D241" s="118" t="s">
        <v>580</v>
      </c>
    </row>
    <row r="242" spans="1:4" x14ac:dyDescent="0.45">
      <c r="A242" s="167" t="s">
        <v>750</v>
      </c>
      <c r="B242" s="118">
        <v>175</v>
      </c>
      <c r="C242" s="118" t="s">
        <v>583</v>
      </c>
      <c r="D242" s="118" t="s">
        <v>586</v>
      </c>
    </row>
    <row r="243" spans="1:4" x14ac:dyDescent="0.45">
      <c r="A243" s="167" t="s">
        <v>751</v>
      </c>
      <c r="B243" s="118">
        <v>300</v>
      </c>
      <c r="C243" s="118" t="s">
        <v>581</v>
      </c>
      <c r="D243" s="118" t="s">
        <v>585</v>
      </c>
    </row>
    <row r="244" spans="1:4" x14ac:dyDescent="0.45">
      <c r="A244" s="167" t="s">
        <v>751</v>
      </c>
      <c r="B244" s="118">
        <v>150</v>
      </c>
      <c r="C244" s="118" t="s">
        <v>752</v>
      </c>
      <c r="D244" s="118" t="s">
        <v>780</v>
      </c>
    </row>
    <row r="245" spans="1:4" x14ac:dyDescent="0.45">
      <c r="A245" s="167" t="s">
        <v>751</v>
      </c>
      <c r="B245" s="118">
        <f>150+96</f>
        <v>246</v>
      </c>
      <c r="C245" s="118" t="s">
        <v>1148</v>
      </c>
      <c r="D245" s="118" t="s">
        <v>580</v>
      </c>
    </row>
    <row r="246" spans="1:4" x14ac:dyDescent="0.45">
      <c r="A246" s="167" t="s">
        <v>751</v>
      </c>
      <c r="B246" s="118">
        <v>60</v>
      </c>
      <c r="C246" s="118" t="s">
        <v>593</v>
      </c>
      <c r="D246" s="118" t="s">
        <v>595</v>
      </c>
    </row>
    <row r="247" spans="1:4" x14ac:dyDescent="0.45">
      <c r="A247" s="167" t="s">
        <v>753</v>
      </c>
      <c r="B247" s="118">
        <f>55+50+50+50</f>
        <v>205</v>
      </c>
      <c r="C247" s="118" t="s">
        <v>1167</v>
      </c>
      <c r="D247" s="118" t="s">
        <v>580</v>
      </c>
    </row>
    <row r="248" spans="1:4" x14ac:dyDescent="0.45">
      <c r="A248" s="167" t="s">
        <v>753</v>
      </c>
      <c r="B248" s="118">
        <v>30</v>
      </c>
      <c r="C248" s="118" t="s">
        <v>593</v>
      </c>
      <c r="D248" s="118" t="s">
        <v>595</v>
      </c>
    </row>
    <row r="249" spans="1:4" x14ac:dyDescent="0.45">
      <c r="A249" s="167" t="s">
        <v>762</v>
      </c>
      <c r="B249" s="118">
        <f>458+55</f>
        <v>513</v>
      </c>
      <c r="C249" s="118" t="s">
        <v>1168</v>
      </c>
      <c r="D249" s="118" t="s">
        <v>580</v>
      </c>
    </row>
    <row r="250" spans="1:4" x14ac:dyDescent="0.45">
      <c r="A250" s="167" t="s">
        <v>762</v>
      </c>
      <c r="B250" s="118">
        <v>1500</v>
      </c>
      <c r="C250" s="118" t="s">
        <v>763</v>
      </c>
      <c r="D250" s="118" t="s">
        <v>599</v>
      </c>
    </row>
    <row r="251" spans="1:4" x14ac:dyDescent="0.45">
      <c r="A251" s="167" t="s">
        <v>754</v>
      </c>
      <c r="B251" s="118">
        <v>46</v>
      </c>
      <c r="C251" s="118" t="s">
        <v>755</v>
      </c>
      <c r="D251" s="118" t="s">
        <v>580</v>
      </c>
    </row>
    <row r="252" spans="1:4" x14ac:dyDescent="0.45">
      <c r="A252" s="167" t="s">
        <v>754</v>
      </c>
      <c r="B252" s="118">
        <v>25</v>
      </c>
      <c r="C252" s="118" t="s">
        <v>1044</v>
      </c>
      <c r="D252" s="118" t="s">
        <v>609</v>
      </c>
    </row>
    <row r="253" spans="1:4" x14ac:dyDescent="0.45">
      <c r="A253" s="167" t="s">
        <v>754</v>
      </c>
      <c r="B253" s="118">
        <v>50</v>
      </c>
      <c r="C253" s="118" t="s">
        <v>756</v>
      </c>
      <c r="D253" s="118" t="s">
        <v>585</v>
      </c>
    </row>
    <row r="254" spans="1:4" x14ac:dyDescent="0.45">
      <c r="A254" s="167" t="s">
        <v>754</v>
      </c>
      <c r="B254" s="118">
        <v>30</v>
      </c>
      <c r="C254" s="118" t="s">
        <v>757</v>
      </c>
      <c r="D254" s="118" t="s">
        <v>595</v>
      </c>
    </row>
    <row r="255" spans="1:4" x14ac:dyDescent="0.45">
      <c r="A255" s="167" t="s">
        <v>754</v>
      </c>
      <c r="B255" s="118">
        <v>1500</v>
      </c>
      <c r="C255" s="118" t="s">
        <v>758</v>
      </c>
      <c r="D255" s="118" t="s">
        <v>779</v>
      </c>
    </row>
    <row r="256" spans="1:4" x14ac:dyDescent="0.45">
      <c r="A256" s="167" t="s">
        <v>754</v>
      </c>
      <c r="B256" s="118">
        <v>50</v>
      </c>
      <c r="C256" s="118" t="s">
        <v>584</v>
      </c>
      <c r="D256" s="118" t="s">
        <v>778</v>
      </c>
    </row>
    <row r="257" spans="1:4" x14ac:dyDescent="0.45">
      <c r="A257" s="167" t="s">
        <v>754</v>
      </c>
      <c r="B257" s="118">
        <v>50</v>
      </c>
      <c r="C257" s="118" t="s">
        <v>759</v>
      </c>
      <c r="D257" s="118" t="s">
        <v>776</v>
      </c>
    </row>
    <row r="258" spans="1:4" x14ac:dyDescent="0.45">
      <c r="A258" s="167" t="s">
        <v>754</v>
      </c>
      <c r="B258" s="118">
        <v>50</v>
      </c>
      <c r="C258" s="118" t="s">
        <v>760</v>
      </c>
      <c r="D258" s="118" t="s">
        <v>777</v>
      </c>
    </row>
    <row r="259" spans="1:4" x14ac:dyDescent="0.45">
      <c r="A259" s="167" t="s">
        <v>761</v>
      </c>
      <c r="B259" s="118">
        <f>100+125+25</f>
        <v>250</v>
      </c>
      <c r="C259" s="118" t="s">
        <v>1169</v>
      </c>
      <c r="D259" s="118" t="s">
        <v>580</v>
      </c>
    </row>
    <row r="260" spans="1:4" x14ac:dyDescent="0.45">
      <c r="A260" s="167" t="s">
        <v>761</v>
      </c>
      <c r="B260" s="118">
        <f>75+150+42+75</f>
        <v>342</v>
      </c>
      <c r="C260" s="118" t="s">
        <v>1170</v>
      </c>
      <c r="D260" s="118" t="s">
        <v>580</v>
      </c>
    </row>
    <row r="261" spans="1:4" x14ac:dyDescent="0.45">
      <c r="A261" s="167" t="s">
        <v>797</v>
      </c>
    </row>
    <row r="262" spans="1:4" x14ac:dyDescent="0.45">
      <c r="A262" s="167" t="s">
        <v>799</v>
      </c>
      <c r="B262" s="118">
        <v>25</v>
      </c>
      <c r="C262" s="118" t="s">
        <v>676</v>
      </c>
      <c r="D262" s="118" t="s">
        <v>587</v>
      </c>
    </row>
    <row r="263" spans="1:4" x14ac:dyDescent="0.45">
      <c r="A263" s="167" t="s">
        <v>799</v>
      </c>
      <c r="B263" s="118">
        <v>80</v>
      </c>
      <c r="C263" s="118" t="s">
        <v>798</v>
      </c>
      <c r="D263" s="118" t="s">
        <v>595</v>
      </c>
    </row>
    <row r="264" spans="1:4" x14ac:dyDescent="0.45">
      <c r="A264" s="167" t="s">
        <v>800</v>
      </c>
      <c r="B264" s="118">
        <v>100</v>
      </c>
      <c r="C264" s="118" t="s">
        <v>1171</v>
      </c>
      <c r="D264" s="118" t="s">
        <v>580</v>
      </c>
    </row>
    <row r="265" spans="1:4" x14ac:dyDescent="0.45">
      <c r="A265" s="167" t="s">
        <v>800</v>
      </c>
      <c r="B265" s="118">
        <v>20</v>
      </c>
      <c r="C265" s="118" t="s">
        <v>986</v>
      </c>
      <c r="D265" s="118" t="s">
        <v>580</v>
      </c>
    </row>
    <row r="266" spans="1:4" x14ac:dyDescent="0.45">
      <c r="A266" s="167" t="s">
        <v>800</v>
      </c>
      <c r="B266" s="118">
        <v>170</v>
      </c>
      <c r="C266" s="118" t="s">
        <v>1046</v>
      </c>
      <c r="D266" s="118" t="s">
        <v>595</v>
      </c>
    </row>
    <row r="267" spans="1:4" x14ac:dyDescent="0.45">
      <c r="A267" s="167" t="s">
        <v>800</v>
      </c>
      <c r="B267" s="118">
        <v>125</v>
      </c>
      <c r="C267" s="118" t="s">
        <v>801</v>
      </c>
      <c r="D267" s="118" t="s">
        <v>595</v>
      </c>
    </row>
    <row r="268" spans="1:4" x14ac:dyDescent="0.45">
      <c r="A268" s="167" t="s">
        <v>800</v>
      </c>
      <c r="B268" s="118">
        <v>25</v>
      </c>
      <c r="C268" s="118" t="s">
        <v>1047</v>
      </c>
      <c r="D268" s="118" t="s">
        <v>854</v>
      </c>
    </row>
    <row r="269" spans="1:4" x14ac:dyDescent="0.45">
      <c r="A269" s="167" t="s">
        <v>800</v>
      </c>
      <c r="B269" s="118">
        <v>130</v>
      </c>
      <c r="C269" s="118" t="s">
        <v>1127</v>
      </c>
      <c r="D269" s="118" t="s">
        <v>855</v>
      </c>
    </row>
    <row r="270" spans="1:4" x14ac:dyDescent="0.45">
      <c r="A270" s="167" t="s">
        <v>804</v>
      </c>
      <c r="B270" s="118">
        <v>100</v>
      </c>
      <c r="C270" s="118" t="s">
        <v>983</v>
      </c>
      <c r="D270" s="118" t="s">
        <v>596</v>
      </c>
    </row>
    <row r="271" spans="1:4" x14ac:dyDescent="0.45">
      <c r="A271" s="167" t="s">
        <v>804</v>
      </c>
      <c r="B271" s="118">
        <v>145</v>
      </c>
      <c r="C271" s="118" t="s">
        <v>1172</v>
      </c>
      <c r="D271" s="118" t="s">
        <v>609</v>
      </c>
    </row>
    <row r="272" spans="1:4" x14ac:dyDescent="0.45">
      <c r="A272" s="167" t="s">
        <v>804</v>
      </c>
      <c r="B272" s="118">
        <v>40</v>
      </c>
      <c r="C272" s="118" t="s">
        <v>1036</v>
      </c>
      <c r="D272" s="118" t="s">
        <v>582</v>
      </c>
    </row>
    <row r="273" spans="1:4" x14ac:dyDescent="0.45">
      <c r="A273" s="167" t="s">
        <v>804</v>
      </c>
      <c r="B273" s="118">
        <f>841+175</f>
        <v>1016</v>
      </c>
      <c r="C273" s="118" t="s">
        <v>1173</v>
      </c>
      <c r="D273" s="118" t="s">
        <v>580</v>
      </c>
    </row>
    <row r="274" spans="1:4" x14ac:dyDescent="0.45">
      <c r="A274" s="167" t="s">
        <v>804</v>
      </c>
      <c r="B274" s="118">
        <v>3837</v>
      </c>
      <c r="C274" s="118" t="s">
        <v>673</v>
      </c>
      <c r="D274" s="118" t="s">
        <v>580</v>
      </c>
    </row>
    <row r="275" spans="1:4" x14ac:dyDescent="0.45">
      <c r="A275" s="167" t="s">
        <v>808</v>
      </c>
      <c r="B275" s="118">
        <v>50</v>
      </c>
      <c r="C275" s="118" t="s">
        <v>809</v>
      </c>
      <c r="D275" s="118" t="s">
        <v>595</v>
      </c>
    </row>
    <row r="276" spans="1:4" x14ac:dyDescent="0.45">
      <c r="A276" s="167" t="s">
        <v>808</v>
      </c>
      <c r="B276" s="118">
        <v>50</v>
      </c>
      <c r="C276" s="118" t="s">
        <v>810</v>
      </c>
      <c r="D276" s="118" t="s">
        <v>856</v>
      </c>
    </row>
    <row r="277" spans="1:4" x14ac:dyDescent="0.45">
      <c r="A277" s="167" t="s">
        <v>808</v>
      </c>
      <c r="B277" s="118">
        <v>85</v>
      </c>
      <c r="C277" s="118" t="s">
        <v>1048</v>
      </c>
      <c r="D277" s="118" t="s">
        <v>609</v>
      </c>
    </row>
    <row r="278" spans="1:4" x14ac:dyDescent="0.45">
      <c r="A278" s="167" t="s">
        <v>808</v>
      </c>
      <c r="B278" s="118">
        <v>25</v>
      </c>
      <c r="C278" s="118" t="s">
        <v>811</v>
      </c>
      <c r="D278" s="118" t="s">
        <v>857</v>
      </c>
    </row>
    <row r="279" spans="1:4" x14ac:dyDescent="0.45">
      <c r="A279" s="167" t="s">
        <v>808</v>
      </c>
      <c r="B279" s="118">
        <v>175</v>
      </c>
      <c r="C279" s="118" t="s">
        <v>812</v>
      </c>
      <c r="D279" s="118" t="s">
        <v>858</v>
      </c>
    </row>
    <row r="280" spans="1:4" x14ac:dyDescent="0.45">
      <c r="A280" s="167" t="s">
        <v>808</v>
      </c>
      <c r="B280" s="118">
        <v>20</v>
      </c>
      <c r="C280" s="118" t="s">
        <v>1050</v>
      </c>
      <c r="D280" s="118" t="s">
        <v>859</v>
      </c>
    </row>
    <row r="281" spans="1:4" x14ac:dyDescent="0.45">
      <c r="A281" s="167" t="s">
        <v>808</v>
      </c>
      <c r="B281" s="118">
        <v>20</v>
      </c>
      <c r="C281" s="118" t="s">
        <v>1051</v>
      </c>
      <c r="D281" s="118" t="s">
        <v>860</v>
      </c>
    </row>
    <row r="282" spans="1:4" x14ac:dyDescent="0.45">
      <c r="A282" s="167" t="s">
        <v>813</v>
      </c>
      <c r="B282" s="118">
        <v>141</v>
      </c>
      <c r="C282" s="118" t="s">
        <v>1174</v>
      </c>
      <c r="D282" s="118" t="s">
        <v>582</v>
      </c>
    </row>
    <row r="283" spans="1:4" x14ac:dyDescent="0.45">
      <c r="A283" s="167" t="s">
        <v>813</v>
      </c>
      <c r="B283" s="118">
        <v>571</v>
      </c>
      <c r="C283" s="118" t="s">
        <v>1175</v>
      </c>
      <c r="D283" s="118" t="s">
        <v>580</v>
      </c>
    </row>
    <row r="284" spans="1:4" x14ac:dyDescent="0.45">
      <c r="A284" s="167" t="s">
        <v>813</v>
      </c>
      <c r="B284" s="118">
        <v>50</v>
      </c>
      <c r="C284" s="118" t="s">
        <v>1052</v>
      </c>
      <c r="D284" s="118" t="s">
        <v>609</v>
      </c>
    </row>
    <row r="285" spans="1:4" x14ac:dyDescent="0.45">
      <c r="A285" s="167" t="s">
        <v>837</v>
      </c>
      <c r="B285" s="118">
        <f>500*9</f>
        <v>4500</v>
      </c>
      <c r="C285" s="118" t="s">
        <v>628</v>
      </c>
      <c r="D285" s="118" t="s">
        <v>580</v>
      </c>
    </row>
    <row r="286" spans="1:4" x14ac:dyDescent="0.45">
      <c r="A286" s="167" t="s">
        <v>469</v>
      </c>
      <c r="B286" s="118">
        <v>15</v>
      </c>
      <c r="C286" s="118" t="s">
        <v>579</v>
      </c>
      <c r="D286" s="118" t="s">
        <v>580</v>
      </c>
    </row>
    <row r="287" spans="1:4" x14ac:dyDescent="0.45">
      <c r="A287" s="167" t="s">
        <v>469</v>
      </c>
      <c r="B287" s="118">
        <v>100</v>
      </c>
      <c r="C287" s="118" t="s">
        <v>1048</v>
      </c>
      <c r="D287" s="118" t="s">
        <v>609</v>
      </c>
    </row>
    <row r="288" spans="1:4" x14ac:dyDescent="0.45">
      <c r="A288" s="167" t="s">
        <v>469</v>
      </c>
      <c r="B288" s="118">
        <v>100</v>
      </c>
      <c r="C288" s="118" t="s">
        <v>583</v>
      </c>
      <c r="D288" s="118" t="s">
        <v>586</v>
      </c>
    </row>
    <row r="289" spans="1:4" x14ac:dyDescent="0.45">
      <c r="A289" s="167" t="s">
        <v>469</v>
      </c>
      <c r="B289" s="118">
        <v>50</v>
      </c>
      <c r="C289" s="118" t="s">
        <v>805</v>
      </c>
      <c r="D289" s="118" t="s">
        <v>595</v>
      </c>
    </row>
    <row r="290" spans="1:4" x14ac:dyDescent="0.45">
      <c r="A290" s="167" t="s">
        <v>469</v>
      </c>
      <c r="B290" s="118">
        <v>150</v>
      </c>
      <c r="C290" s="118" t="s">
        <v>581</v>
      </c>
      <c r="D290" s="118" t="s">
        <v>585</v>
      </c>
    </row>
    <row r="291" spans="1:4" x14ac:dyDescent="0.45">
      <c r="A291" s="167" t="s">
        <v>469</v>
      </c>
      <c r="B291" s="118">
        <v>25</v>
      </c>
      <c r="C291" s="118" t="s">
        <v>1053</v>
      </c>
      <c r="D291" s="118" t="s">
        <v>859</v>
      </c>
    </row>
    <row r="292" spans="1:4" x14ac:dyDescent="0.45">
      <c r="A292" s="167" t="s">
        <v>469</v>
      </c>
      <c r="B292" s="118">
        <v>50</v>
      </c>
      <c r="C292" s="118" t="s">
        <v>845</v>
      </c>
      <c r="D292" s="118" t="s">
        <v>861</v>
      </c>
    </row>
    <row r="293" spans="1:4" x14ac:dyDescent="0.45">
      <c r="A293" s="167" t="s">
        <v>469</v>
      </c>
      <c r="B293" s="118">
        <v>25</v>
      </c>
      <c r="C293" s="118" t="s">
        <v>811</v>
      </c>
      <c r="D293" s="118" t="s">
        <v>857</v>
      </c>
    </row>
    <row r="294" spans="1:4" x14ac:dyDescent="0.45">
      <c r="A294" s="167" t="s">
        <v>844</v>
      </c>
      <c r="B294" s="118">
        <f>1106+60</f>
        <v>1166</v>
      </c>
      <c r="C294" s="118" t="s">
        <v>1176</v>
      </c>
      <c r="D294" s="118" t="s">
        <v>580</v>
      </c>
    </row>
    <row r="295" spans="1:4" x14ac:dyDescent="0.45">
      <c r="A295" s="167" t="s">
        <v>844</v>
      </c>
      <c r="B295" s="118">
        <v>20</v>
      </c>
      <c r="C295" s="118" t="s">
        <v>983</v>
      </c>
      <c r="D295" s="118" t="s">
        <v>596</v>
      </c>
    </row>
    <row r="296" spans="1:4" x14ac:dyDescent="0.45">
      <c r="A296" s="167" t="s">
        <v>844</v>
      </c>
      <c r="B296" s="118">
        <v>50</v>
      </c>
      <c r="C296" s="118" t="s">
        <v>1048</v>
      </c>
      <c r="D296" s="118" t="s">
        <v>609</v>
      </c>
    </row>
    <row r="297" spans="1:4" x14ac:dyDescent="0.45">
      <c r="A297" s="167" t="s">
        <v>844</v>
      </c>
      <c r="B297" s="118">
        <v>20</v>
      </c>
      <c r="C297" s="118" t="s">
        <v>1054</v>
      </c>
      <c r="D297" s="118" t="s">
        <v>862</v>
      </c>
    </row>
    <row r="298" spans="1:4" x14ac:dyDescent="0.45">
      <c r="A298" s="167" t="s">
        <v>844</v>
      </c>
      <c r="B298" s="118">
        <v>20</v>
      </c>
      <c r="C298" s="118" t="s">
        <v>1055</v>
      </c>
      <c r="D298" s="118" t="s">
        <v>863</v>
      </c>
    </row>
    <row r="299" spans="1:4" x14ac:dyDescent="0.45">
      <c r="A299" s="167" t="s">
        <v>537</v>
      </c>
      <c r="B299" s="118">
        <v>20</v>
      </c>
      <c r="C299" s="118" t="s">
        <v>985</v>
      </c>
      <c r="D299" s="118" t="s">
        <v>608</v>
      </c>
    </row>
    <row r="300" spans="1:4" x14ac:dyDescent="0.45">
      <c r="A300" s="167" t="s">
        <v>537</v>
      </c>
      <c r="B300" s="118">
        <v>20</v>
      </c>
      <c r="C300" s="118" t="s">
        <v>986</v>
      </c>
      <c r="D300" s="118" t="s">
        <v>609</v>
      </c>
    </row>
    <row r="301" spans="1:4" x14ac:dyDescent="0.45">
      <c r="A301" s="167" t="s">
        <v>537</v>
      </c>
      <c r="B301" s="118">
        <v>50</v>
      </c>
      <c r="C301" s="118" t="s">
        <v>583</v>
      </c>
      <c r="D301" s="118" t="s">
        <v>586</v>
      </c>
    </row>
    <row r="302" spans="1:4" x14ac:dyDescent="0.45">
      <c r="A302" s="167" t="s">
        <v>537</v>
      </c>
      <c r="B302" s="118">
        <v>60</v>
      </c>
      <c r="C302" s="118" t="s">
        <v>593</v>
      </c>
      <c r="D302" s="118" t="s">
        <v>595</v>
      </c>
    </row>
    <row r="303" spans="1:4" x14ac:dyDescent="0.45">
      <c r="A303" s="167" t="s">
        <v>846</v>
      </c>
      <c r="B303" s="118">
        <v>20</v>
      </c>
      <c r="C303" s="118" t="s">
        <v>983</v>
      </c>
      <c r="D303" s="118" t="s">
        <v>596</v>
      </c>
    </row>
    <row r="304" spans="1:4" x14ac:dyDescent="0.45">
      <c r="A304" s="167" t="s">
        <v>846</v>
      </c>
      <c r="B304" s="118">
        <v>50</v>
      </c>
      <c r="C304" s="118" t="s">
        <v>583</v>
      </c>
      <c r="D304" s="118" t="s">
        <v>580</v>
      </c>
    </row>
    <row r="305" spans="1:4" x14ac:dyDescent="0.45">
      <c r="A305" s="167" t="s">
        <v>846</v>
      </c>
      <c r="B305" s="118">
        <v>20</v>
      </c>
      <c r="C305" s="118" t="s">
        <v>1056</v>
      </c>
      <c r="D305" s="118" t="s">
        <v>864</v>
      </c>
    </row>
    <row r="306" spans="1:4" x14ac:dyDescent="0.45">
      <c r="A306" s="167" t="s">
        <v>846</v>
      </c>
      <c r="B306" s="118">
        <v>50</v>
      </c>
      <c r="C306" s="118" t="s">
        <v>1057</v>
      </c>
      <c r="D306" s="118" t="s">
        <v>641</v>
      </c>
    </row>
    <row r="307" spans="1:4" x14ac:dyDescent="0.45">
      <c r="A307" s="167" t="s">
        <v>846</v>
      </c>
      <c r="B307" s="118">
        <v>130</v>
      </c>
      <c r="C307" s="118" t="s">
        <v>1128</v>
      </c>
      <c r="D307" s="118" t="s">
        <v>865</v>
      </c>
    </row>
    <row r="308" spans="1:4" x14ac:dyDescent="0.45">
      <c r="A308" s="167" t="s">
        <v>538</v>
      </c>
      <c r="B308" s="118">
        <v>75</v>
      </c>
      <c r="C308" s="118" t="s">
        <v>1048</v>
      </c>
      <c r="D308" s="118" t="s">
        <v>609</v>
      </c>
    </row>
    <row r="309" spans="1:4" x14ac:dyDescent="0.45">
      <c r="A309" s="167" t="s">
        <v>538</v>
      </c>
      <c r="B309" s="118">
        <v>75</v>
      </c>
      <c r="C309" s="118" t="s">
        <v>584</v>
      </c>
      <c r="D309" s="118" t="s">
        <v>580</v>
      </c>
    </row>
    <row r="310" spans="1:4" x14ac:dyDescent="0.45">
      <c r="A310" s="167" t="s">
        <v>538</v>
      </c>
      <c r="B310" s="118">
        <v>60</v>
      </c>
      <c r="C310" s="118" t="s">
        <v>593</v>
      </c>
      <c r="D310" s="118" t="s">
        <v>595</v>
      </c>
    </row>
    <row r="311" spans="1:4" x14ac:dyDescent="0.45">
      <c r="A311" s="167" t="s">
        <v>538</v>
      </c>
      <c r="B311" s="118">
        <v>160</v>
      </c>
      <c r="C311" s="118" t="s">
        <v>1177</v>
      </c>
      <c r="D311" s="118" t="s">
        <v>866</v>
      </c>
    </row>
    <row r="312" spans="1:4" x14ac:dyDescent="0.45">
      <c r="A312" s="167" t="s">
        <v>538</v>
      </c>
      <c r="B312" s="118">
        <v>225</v>
      </c>
      <c r="C312" s="118" t="s">
        <v>851</v>
      </c>
      <c r="D312" s="118" t="s">
        <v>783</v>
      </c>
    </row>
    <row r="313" spans="1:4" x14ac:dyDescent="0.45">
      <c r="A313" s="167" t="s">
        <v>821</v>
      </c>
    </row>
    <row r="314" spans="1:4" x14ac:dyDescent="0.45">
      <c r="A314" s="167" t="s">
        <v>461</v>
      </c>
      <c r="B314" s="118">
        <v>110</v>
      </c>
      <c r="C314" s="118" t="s">
        <v>579</v>
      </c>
      <c r="D314" s="118" t="s">
        <v>580</v>
      </c>
    </row>
    <row r="315" spans="1:4" x14ac:dyDescent="0.45">
      <c r="A315" s="167" t="s">
        <v>461</v>
      </c>
      <c r="B315" s="118">
        <v>656</v>
      </c>
      <c r="C315" s="118" t="s">
        <v>1178</v>
      </c>
      <c r="D315" s="118" t="s">
        <v>580</v>
      </c>
    </row>
    <row r="316" spans="1:4" x14ac:dyDescent="0.45">
      <c r="A316" s="167" t="s">
        <v>461</v>
      </c>
      <c r="B316" s="118">
        <v>1060</v>
      </c>
      <c r="C316" s="118" t="s">
        <v>1129</v>
      </c>
      <c r="D316" s="118" t="s">
        <v>580</v>
      </c>
    </row>
    <row r="317" spans="1:4" x14ac:dyDescent="0.45">
      <c r="A317" s="167" t="s">
        <v>461</v>
      </c>
      <c r="B317" s="118">
        <v>400</v>
      </c>
      <c r="C317" s="118" t="s">
        <v>1130</v>
      </c>
      <c r="D317" s="118" t="s">
        <v>580</v>
      </c>
    </row>
    <row r="318" spans="1:4" x14ac:dyDescent="0.45">
      <c r="A318" s="167" t="s">
        <v>461</v>
      </c>
      <c r="B318" s="118">
        <v>1000</v>
      </c>
      <c r="C318" s="118" t="s">
        <v>980</v>
      </c>
      <c r="D318" s="118" t="s">
        <v>580</v>
      </c>
    </row>
    <row r="319" spans="1:4" x14ac:dyDescent="0.45">
      <c r="A319" s="167" t="s">
        <v>461</v>
      </c>
      <c r="B319" s="118">
        <v>200</v>
      </c>
      <c r="C319" s="118" t="s">
        <v>1131</v>
      </c>
      <c r="D319" s="118" t="s">
        <v>580</v>
      </c>
    </row>
    <row r="320" spans="1:4" x14ac:dyDescent="0.45">
      <c r="A320" s="167" t="s">
        <v>461</v>
      </c>
      <c r="B320" s="118">
        <v>2218</v>
      </c>
      <c r="C320" s="118" t="s">
        <v>672</v>
      </c>
      <c r="D320" s="118" t="s">
        <v>580</v>
      </c>
    </row>
    <row r="321" spans="1:4" x14ac:dyDescent="0.45">
      <c r="A321" s="167" t="s">
        <v>822</v>
      </c>
    </row>
    <row r="322" spans="1:4" x14ac:dyDescent="0.45">
      <c r="A322" s="167" t="s">
        <v>823</v>
      </c>
      <c r="B322" s="118">
        <v>293</v>
      </c>
      <c r="C322" s="118" t="s">
        <v>579</v>
      </c>
      <c r="D322" s="118" t="s">
        <v>580</v>
      </c>
    </row>
    <row r="323" spans="1:4" x14ac:dyDescent="0.45">
      <c r="A323" s="167" t="s">
        <v>823</v>
      </c>
      <c r="B323" s="118">
        <v>200</v>
      </c>
      <c r="C323" s="118" t="s">
        <v>1060</v>
      </c>
      <c r="D323" s="118" t="s">
        <v>967</v>
      </c>
    </row>
    <row r="324" spans="1:4" x14ac:dyDescent="0.45">
      <c r="A324" s="167" t="s">
        <v>823</v>
      </c>
      <c r="B324" s="118">
        <v>200</v>
      </c>
      <c r="C324" s="118" t="s">
        <v>584</v>
      </c>
      <c r="D324" s="118" t="s">
        <v>587</v>
      </c>
    </row>
    <row r="325" spans="1:4" x14ac:dyDescent="0.45">
      <c r="A325" s="167" t="s">
        <v>823</v>
      </c>
      <c r="B325" s="118">
        <v>130</v>
      </c>
      <c r="C325" s="118" t="s">
        <v>807</v>
      </c>
      <c r="D325" s="118" t="s">
        <v>595</v>
      </c>
    </row>
    <row r="326" spans="1:4" x14ac:dyDescent="0.45">
      <c r="A326" s="167" t="s">
        <v>823</v>
      </c>
      <c r="B326" s="118">
        <v>140</v>
      </c>
      <c r="C326" s="118" t="s">
        <v>986</v>
      </c>
      <c r="D326" s="118" t="s">
        <v>609</v>
      </c>
    </row>
    <row r="327" spans="1:4" x14ac:dyDescent="0.45">
      <c r="A327" s="167" t="s">
        <v>823</v>
      </c>
      <c r="B327" s="118">
        <v>50</v>
      </c>
      <c r="C327" s="118" t="s">
        <v>618</v>
      </c>
      <c r="D327" s="118" t="s">
        <v>586</v>
      </c>
    </row>
    <row r="328" spans="1:4" x14ac:dyDescent="0.45">
      <c r="A328" s="167" t="s">
        <v>823</v>
      </c>
      <c r="B328" s="118">
        <v>80</v>
      </c>
      <c r="C328" s="118" t="s">
        <v>1036</v>
      </c>
      <c r="D328" s="118" t="s">
        <v>582</v>
      </c>
    </row>
    <row r="329" spans="1:4" x14ac:dyDescent="0.45">
      <c r="A329" s="167" t="s">
        <v>823</v>
      </c>
      <c r="B329" s="118">
        <v>100</v>
      </c>
      <c r="C329" s="118" t="s">
        <v>581</v>
      </c>
      <c r="D329" s="118" t="s">
        <v>585</v>
      </c>
    </row>
    <row r="330" spans="1:4" x14ac:dyDescent="0.45">
      <c r="A330" s="167" t="s">
        <v>823</v>
      </c>
      <c r="B330" s="118">
        <v>75</v>
      </c>
      <c r="C330" s="118" t="s">
        <v>824</v>
      </c>
      <c r="D330" s="118" t="s">
        <v>869</v>
      </c>
    </row>
    <row r="331" spans="1:4" x14ac:dyDescent="0.45">
      <c r="A331" s="167" t="s">
        <v>823</v>
      </c>
      <c r="B331" s="118">
        <v>125</v>
      </c>
      <c r="C331" s="118" t="s">
        <v>825</v>
      </c>
      <c r="D331" s="118" t="s">
        <v>856</v>
      </c>
    </row>
    <row r="332" spans="1:4" x14ac:dyDescent="0.45">
      <c r="A332" s="167" t="s">
        <v>823</v>
      </c>
      <c r="B332" s="118">
        <v>25</v>
      </c>
      <c r="C332" s="118" t="s">
        <v>826</v>
      </c>
      <c r="D332" s="118" t="s">
        <v>599</v>
      </c>
    </row>
    <row r="333" spans="1:4" x14ac:dyDescent="0.45">
      <c r="A333" s="167" t="s">
        <v>823</v>
      </c>
      <c r="B333" s="118">
        <v>20</v>
      </c>
      <c r="C333" s="118" t="s">
        <v>983</v>
      </c>
      <c r="D333" s="118" t="s">
        <v>596</v>
      </c>
    </row>
    <row r="334" spans="1:4" x14ac:dyDescent="0.45">
      <c r="A334" s="167" t="s">
        <v>827</v>
      </c>
      <c r="B334" s="118">
        <v>40</v>
      </c>
      <c r="C334" s="118" t="s">
        <v>1179</v>
      </c>
      <c r="D334" s="118" t="s">
        <v>609</v>
      </c>
    </row>
    <row r="335" spans="1:4" x14ac:dyDescent="0.45">
      <c r="A335" s="167" t="s">
        <v>827</v>
      </c>
      <c r="B335" s="118">
        <v>175</v>
      </c>
      <c r="C335" s="118" t="s">
        <v>1180</v>
      </c>
      <c r="D335" s="118" t="s">
        <v>580</v>
      </c>
    </row>
    <row r="336" spans="1:4" x14ac:dyDescent="0.45">
      <c r="A336" s="167" t="s">
        <v>827</v>
      </c>
      <c r="B336" s="118">
        <v>1500</v>
      </c>
      <c r="C336" s="118" t="s">
        <v>749</v>
      </c>
      <c r="D336" s="118" t="s">
        <v>599</v>
      </c>
    </row>
    <row r="337" spans="1:4" x14ac:dyDescent="0.45">
      <c r="A337" s="167" t="s">
        <v>828</v>
      </c>
      <c r="B337" s="118">
        <v>400</v>
      </c>
      <c r="C337" s="118" t="s">
        <v>1060</v>
      </c>
      <c r="D337" s="118" t="s">
        <v>967</v>
      </c>
    </row>
    <row r="338" spans="1:4" x14ac:dyDescent="0.45">
      <c r="A338" s="167" t="s">
        <v>828</v>
      </c>
      <c r="B338" s="118">
        <v>39</v>
      </c>
      <c r="C338" s="118" t="s">
        <v>1181</v>
      </c>
      <c r="D338" s="118" t="s">
        <v>609</v>
      </c>
    </row>
    <row r="339" spans="1:4" x14ac:dyDescent="0.45">
      <c r="A339" s="167" t="s">
        <v>828</v>
      </c>
      <c r="B339" s="118">
        <f>250+130+95</f>
        <v>475</v>
      </c>
      <c r="C339" s="118" t="s">
        <v>1182</v>
      </c>
      <c r="D339" s="118" t="s">
        <v>580</v>
      </c>
    </row>
    <row r="340" spans="1:4" x14ac:dyDescent="0.45">
      <c r="A340" s="167" t="s">
        <v>828</v>
      </c>
      <c r="B340" s="118">
        <v>20</v>
      </c>
      <c r="C340" s="118" t="s">
        <v>983</v>
      </c>
      <c r="D340" s="118" t="s">
        <v>596</v>
      </c>
    </row>
    <row r="341" spans="1:4" x14ac:dyDescent="0.45">
      <c r="A341" s="167" t="s">
        <v>828</v>
      </c>
      <c r="B341" s="118">
        <v>40</v>
      </c>
      <c r="C341" s="118" t="s">
        <v>1036</v>
      </c>
      <c r="D341" s="118" t="s">
        <v>582</v>
      </c>
    </row>
    <row r="342" spans="1:4" x14ac:dyDescent="0.45">
      <c r="A342" s="167" t="s">
        <v>828</v>
      </c>
      <c r="B342" s="118">
        <v>25</v>
      </c>
      <c r="C342" s="118" t="s">
        <v>829</v>
      </c>
      <c r="D342" s="118" t="s">
        <v>582</v>
      </c>
    </row>
    <row r="343" spans="1:4" x14ac:dyDescent="0.45">
      <c r="A343" s="167" t="s">
        <v>830</v>
      </c>
      <c r="B343" s="118">
        <f>28+100+30+50</f>
        <v>208</v>
      </c>
      <c r="C343" s="118" t="s">
        <v>1183</v>
      </c>
      <c r="D343" s="118" t="s">
        <v>580</v>
      </c>
    </row>
    <row r="344" spans="1:4" x14ac:dyDescent="0.45">
      <c r="A344" s="167" t="s">
        <v>831</v>
      </c>
      <c r="B344" s="118">
        <v>130</v>
      </c>
      <c r="C344" s="118" t="s">
        <v>579</v>
      </c>
      <c r="D344" s="118" t="s">
        <v>580</v>
      </c>
    </row>
    <row r="345" spans="1:4" x14ac:dyDescent="0.45">
      <c r="A345" s="167" t="s">
        <v>831</v>
      </c>
      <c r="B345" s="118">
        <v>300</v>
      </c>
      <c r="C345" s="118" t="s">
        <v>584</v>
      </c>
      <c r="D345" s="167" t="s">
        <v>587</v>
      </c>
    </row>
    <row r="346" spans="1:4" x14ac:dyDescent="0.45">
      <c r="A346" s="167" t="s">
        <v>831</v>
      </c>
      <c r="B346" s="118">
        <v>200</v>
      </c>
      <c r="C346" s="118" t="s">
        <v>798</v>
      </c>
      <c r="D346" s="167" t="s">
        <v>595</v>
      </c>
    </row>
    <row r="347" spans="1:4" x14ac:dyDescent="0.45">
      <c r="A347" s="167" t="s">
        <v>831</v>
      </c>
      <c r="B347" s="118">
        <v>300</v>
      </c>
      <c r="C347" s="118" t="s">
        <v>581</v>
      </c>
      <c r="D347" s="118" t="s">
        <v>585</v>
      </c>
    </row>
    <row r="348" spans="1:4" x14ac:dyDescent="0.45">
      <c r="A348" s="167" t="s">
        <v>831</v>
      </c>
      <c r="B348" s="118">
        <v>25</v>
      </c>
      <c r="C348" s="118" t="s">
        <v>1062</v>
      </c>
      <c r="D348" s="118" t="s">
        <v>771</v>
      </c>
    </row>
    <row r="349" spans="1:4" x14ac:dyDescent="0.45">
      <c r="A349" s="167" t="s">
        <v>831</v>
      </c>
      <c r="B349" s="118">
        <v>125</v>
      </c>
      <c r="C349" s="118" t="s">
        <v>583</v>
      </c>
      <c r="D349" s="118" t="s">
        <v>586</v>
      </c>
    </row>
    <row r="350" spans="1:4" x14ac:dyDescent="0.45">
      <c r="A350" s="167" t="s">
        <v>831</v>
      </c>
      <c r="B350" s="118">
        <v>40</v>
      </c>
      <c r="C350" s="118" t="s">
        <v>983</v>
      </c>
      <c r="D350" s="118" t="s">
        <v>596</v>
      </c>
    </row>
    <row r="351" spans="1:4" x14ac:dyDescent="0.45">
      <c r="A351" s="167" t="s">
        <v>831</v>
      </c>
      <c r="B351" s="118">
        <v>50</v>
      </c>
      <c r="C351" s="118" t="s">
        <v>832</v>
      </c>
      <c r="D351" s="118" t="s">
        <v>599</v>
      </c>
    </row>
    <row r="352" spans="1:4" x14ac:dyDescent="0.45">
      <c r="A352" s="167" t="s">
        <v>831</v>
      </c>
      <c r="B352" s="118">
        <v>100</v>
      </c>
      <c r="C352" s="118" t="s">
        <v>1060</v>
      </c>
      <c r="D352" s="118" t="s">
        <v>967</v>
      </c>
    </row>
    <row r="353" spans="1:4" x14ac:dyDescent="0.45">
      <c r="A353" s="167" t="s">
        <v>831</v>
      </c>
      <c r="B353" s="118">
        <v>140</v>
      </c>
      <c r="C353" s="118" t="s">
        <v>1184</v>
      </c>
      <c r="D353" s="167" t="s">
        <v>609</v>
      </c>
    </row>
    <row r="354" spans="1:4" x14ac:dyDescent="0.45">
      <c r="A354" s="167" t="s">
        <v>831</v>
      </c>
      <c r="B354" s="118">
        <v>1630</v>
      </c>
      <c r="C354" s="118" t="s">
        <v>601</v>
      </c>
      <c r="D354" s="118" t="s">
        <v>580</v>
      </c>
    </row>
    <row r="355" spans="1:4" x14ac:dyDescent="0.45">
      <c r="A355" s="167" t="s">
        <v>833</v>
      </c>
      <c r="B355" s="118">
        <v>1500</v>
      </c>
      <c r="C355" s="118" t="s">
        <v>1132</v>
      </c>
      <c r="D355" s="118" t="s">
        <v>580</v>
      </c>
    </row>
    <row r="356" spans="1:4" x14ac:dyDescent="0.45">
      <c r="A356" s="167" t="s">
        <v>833</v>
      </c>
      <c r="B356" s="118">
        <v>325</v>
      </c>
      <c r="C356" s="118" t="s">
        <v>1185</v>
      </c>
      <c r="D356" s="118" t="s">
        <v>580</v>
      </c>
    </row>
    <row r="357" spans="1:4" x14ac:dyDescent="0.45">
      <c r="A357" s="167" t="s">
        <v>833</v>
      </c>
      <c r="B357" s="118">
        <v>390</v>
      </c>
      <c r="C357" s="118" t="s">
        <v>868</v>
      </c>
      <c r="D357" s="118" t="s">
        <v>580</v>
      </c>
    </row>
    <row r="358" spans="1:4" x14ac:dyDescent="0.45">
      <c r="A358" s="167" t="s">
        <v>833</v>
      </c>
      <c r="B358" s="118">
        <v>260</v>
      </c>
      <c r="C358" s="118" t="s">
        <v>867</v>
      </c>
      <c r="D358" s="118" t="s">
        <v>595</v>
      </c>
    </row>
    <row r="359" spans="1:4" x14ac:dyDescent="0.45">
      <c r="A359" s="167" t="s">
        <v>833</v>
      </c>
      <c r="B359" s="118">
        <v>20</v>
      </c>
      <c r="C359" s="118" t="s">
        <v>985</v>
      </c>
      <c r="D359" s="118" t="s">
        <v>791</v>
      </c>
    </row>
    <row r="360" spans="1:4" x14ac:dyDescent="0.45">
      <c r="A360" s="167" t="s">
        <v>838</v>
      </c>
      <c r="B360" s="118">
        <v>87</v>
      </c>
      <c r="C360" s="118" t="s">
        <v>579</v>
      </c>
      <c r="D360" s="118" t="s">
        <v>580</v>
      </c>
    </row>
    <row r="361" spans="1:4" x14ac:dyDescent="0.45">
      <c r="A361" s="167" t="s">
        <v>838</v>
      </c>
      <c r="B361" s="118">
        <v>175</v>
      </c>
      <c r="C361" s="118" t="s">
        <v>584</v>
      </c>
      <c r="D361" s="167" t="s">
        <v>587</v>
      </c>
    </row>
    <row r="362" spans="1:4" x14ac:dyDescent="0.45">
      <c r="A362" s="167" t="s">
        <v>838</v>
      </c>
      <c r="B362" s="118">
        <v>200</v>
      </c>
      <c r="C362" s="118" t="s">
        <v>581</v>
      </c>
      <c r="D362" s="167" t="s">
        <v>585</v>
      </c>
    </row>
    <row r="363" spans="1:4" x14ac:dyDescent="0.45">
      <c r="A363" s="167" t="s">
        <v>838</v>
      </c>
      <c r="B363" s="118">
        <v>25</v>
      </c>
      <c r="C363" s="118" t="s">
        <v>583</v>
      </c>
      <c r="D363" s="167" t="s">
        <v>586</v>
      </c>
    </row>
    <row r="364" spans="1:4" x14ac:dyDescent="0.45">
      <c r="A364" s="167" t="s">
        <v>838</v>
      </c>
      <c r="B364" s="118">
        <v>30</v>
      </c>
      <c r="C364" s="118" t="s">
        <v>593</v>
      </c>
      <c r="D364" s="167" t="s">
        <v>595</v>
      </c>
    </row>
    <row r="365" spans="1:4" x14ac:dyDescent="0.45">
      <c r="A365" s="167" t="s">
        <v>838</v>
      </c>
      <c r="B365" s="118">
        <v>20</v>
      </c>
      <c r="C365" s="118" t="s">
        <v>983</v>
      </c>
      <c r="D365" s="118" t="s">
        <v>596</v>
      </c>
    </row>
    <row r="366" spans="1:4" x14ac:dyDescent="0.45">
      <c r="A366" s="167" t="s">
        <v>838</v>
      </c>
      <c r="B366" s="118">
        <v>32</v>
      </c>
      <c r="C366" s="118" t="s">
        <v>1058</v>
      </c>
      <c r="D366" s="118" t="s">
        <v>609</v>
      </c>
    </row>
    <row r="367" spans="1:4" x14ac:dyDescent="0.45">
      <c r="A367" s="167" t="s">
        <v>838</v>
      </c>
      <c r="B367" s="118">
        <v>75</v>
      </c>
      <c r="C367" s="118" t="s">
        <v>1060</v>
      </c>
      <c r="D367" s="118" t="s">
        <v>967</v>
      </c>
    </row>
    <row r="368" spans="1:4" x14ac:dyDescent="0.45">
      <c r="A368" s="167" t="s">
        <v>840</v>
      </c>
      <c r="B368" s="118">
        <v>60</v>
      </c>
      <c r="C368" s="118" t="s">
        <v>1186</v>
      </c>
      <c r="D368" s="118" t="s">
        <v>580</v>
      </c>
    </row>
    <row r="369" spans="1:4" x14ac:dyDescent="0.45">
      <c r="A369" s="167" t="s">
        <v>840</v>
      </c>
      <c r="B369" s="118">
        <v>20</v>
      </c>
      <c r="C369" s="118" t="s">
        <v>983</v>
      </c>
      <c r="D369" s="118" t="s">
        <v>582</v>
      </c>
    </row>
    <row r="370" spans="1:4" x14ac:dyDescent="0.45">
      <c r="A370" s="167" t="s">
        <v>841</v>
      </c>
      <c r="B370" s="118">
        <v>5000</v>
      </c>
      <c r="C370" s="118" t="s">
        <v>1132</v>
      </c>
      <c r="D370" s="118" t="s">
        <v>580</v>
      </c>
    </row>
    <row r="371" spans="1:4" x14ac:dyDescent="0.45">
      <c r="A371" s="167" t="s">
        <v>841</v>
      </c>
      <c r="B371" s="118">
        <v>50</v>
      </c>
      <c r="C371" s="118" t="s">
        <v>1060</v>
      </c>
      <c r="D371" s="118" t="s">
        <v>967</v>
      </c>
    </row>
    <row r="372" spans="1:4" x14ac:dyDescent="0.45">
      <c r="A372" s="167" t="s">
        <v>841</v>
      </c>
      <c r="B372" s="118">
        <v>20</v>
      </c>
      <c r="C372" s="118" t="s">
        <v>983</v>
      </c>
      <c r="D372" s="118" t="s">
        <v>596</v>
      </c>
    </row>
    <row r="373" spans="1:4" x14ac:dyDescent="0.45">
      <c r="A373" s="167" t="s">
        <v>841</v>
      </c>
      <c r="B373" s="118">
        <v>80</v>
      </c>
      <c r="C373" s="118" t="s">
        <v>986</v>
      </c>
      <c r="D373" s="118" t="s">
        <v>609</v>
      </c>
    </row>
    <row r="374" spans="1:4" x14ac:dyDescent="0.45">
      <c r="A374" s="167" t="s">
        <v>841</v>
      </c>
      <c r="B374" s="118">
        <v>150</v>
      </c>
      <c r="C374" s="118" t="s">
        <v>1187</v>
      </c>
      <c r="D374" s="118" t="s">
        <v>580</v>
      </c>
    </row>
    <row r="375" spans="1:4" x14ac:dyDescent="0.45">
      <c r="A375" s="167" t="s">
        <v>843</v>
      </c>
      <c r="B375" s="118">
        <f>100+46+100+50</f>
        <v>296</v>
      </c>
      <c r="C375" s="118" t="s">
        <v>1188</v>
      </c>
      <c r="D375" s="118" t="s">
        <v>580</v>
      </c>
    </row>
    <row r="376" spans="1:4" x14ac:dyDescent="0.45">
      <c r="A376" s="167" t="s">
        <v>843</v>
      </c>
      <c r="B376" s="118">
        <v>80</v>
      </c>
      <c r="C376" s="118" t="s">
        <v>1189</v>
      </c>
      <c r="D376" s="118" t="s">
        <v>582</v>
      </c>
    </row>
    <row r="377" spans="1:4" x14ac:dyDescent="0.45">
      <c r="A377" s="167" t="s">
        <v>843</v>
      </c>
      <c r="B377" s="118">
        <v>20</v>
      </c>
      <c r="C377" s="118" t="s">
        <v>986</v>
      </c>
      <c r="D377" s="118" t="s">
        <v>580</v>
      </c>
    </row>
    <row r="378" spans="1:4" x14ac:dyDescent="0.45">
      <c r="A378" s="167" t="s">
        <v>870</v>
      </c>
    </row>
    <row r="379" spans="1:4" x14ac:dyDescent="0.45">
      <c r="A379" s="167" t="s">
        <v>871</v>
      </c>
      <c r="B379" s="118">
        <v>100</v>
      </c>
      <c r="C379" s="118" t="s">
        <v>872</v>
      </c>
      <c r="D379" s="118" t="s">
        <v>768</v>
      </c>
    </row>
    <row r="380" spans="1:4" x14ac:dyDescent="0.45">
      <c r="A380" s="167" t="s">
        <v>871</v>
      </c>
      <c r="B380" s="118">
        <v>263</v>
      </c>
      <c r="C380" s="118" t="s">
        <v>579</v>
      </c>
      <c r="D380" s="118" t="s">
        <v>580</v>
      </c>
    </row>
    <row r="381" spans="1:4" x14ac:dyDescent="0.45">
      <c r="A381" s="167" t="s">
        <v>871</v>
      </c>
      <c r="B381" s="118">
        <v>300</v>
      </c>
      <c r="C381" s="118" t="s">
        <v>583</v>
      </c>
      <c r="D381" s="118" t="s">
        <v>586</v>
      </c>
    </row>
    <row r="382" spans="1:4" x14ac:dyDescent="0.45">
      <c r="A382" s="167" t="s">
        <v>871</v>
      </c>
      <c r="B382" s="118">
        <v>350</v>
      </c>
      <c r="C382" s="118" t="s">
        <v>584</v>
      </c>
      <c r="D382" s="118" t="s">
        <v>587</v>
      </c>
    </row>
    <row r="383" spans="1:4" x14ac:dyDescent="0.45">
      <c r="A383" s="167" t="s">
        <v>871</v>
      </c>
      <c r="B383" s="118">
        <v>30</v>
      </c>
      <c r="C383" s="118" t="s">
        <v>593</v>
      </c>
      <c r="D383" s="118" t="s">
        <v>595</v>
      </c>
    </row>
    <row r="384" spans="1:4" x14ac:dyDescent="0.45">
      <c r="A384" s="167" t="s">
        <v>871</v>
      </c>
      <c r="B384" s="118">
        <v>350</v>
      </c>
      <c r="C384" s="118" t="s">
        <v>581</v>
      </c>
      <c r="D384" s="118" t="s">
        <v>585</v>
      </c>
    </row>
    <row r="385" spans="1:4" x14ac:dyDescent="0.45">
      <c r="A385" s="167" t="s">
        <v>871</v>
      </c>
      <c r="B385" s="118">
        <v>375</v>
      </c>
      <c r="C385" s="118" t="s">
        <v>1060</v>
      </c>
      <c r="D385" s="118" t="s">
        <v>967</v>
      </c>
    </row>
    <row r="386" spans="1:4" x14ac:dyDescent="0.45">
      <c r="A386" s="167" t="s">
        <v>871</v>
      </c>
      <c r="B386" s="118">
        <v>140</v>
      </c>
      <c r="C386" s="118" t="s">
        <v>986</v>
      </c>
      <c r="D386" s="118" t="s">
        <v>609</v>
      </c>
    </row>
    <row r="387" spans="1:4" x14ac:dyDescent="0.45">
      <c r="A387" s="167" t="s">
        <v>871</v>
      </c>
      <c r="B387" s="118">
        <v>80</v>
      </c>
      <c r="C387" s="118" t="s">
        <v>1036</v>
      </c>
      <c r="D387" s="118" t="s">
        <v>582</v>
      </c>
    </row>
    <row r="388" spans="1:4" x14ac:dyDescent="0.45">
      <c r="A388" s="167" t="s">
        <v>871</v>
      </c>
      <c r="B388" s="118">
        <v>60</v>
      </c>
      <c r="C388" s="118" t="s">
        <v>983</v>
      </c>
      <c r="D388" s="118" t="s">
        <v>596</v>
      </c>
    </row>
    <row r="389" spans="1:4" x14ac:dyDescent="0.45">
      <c r="A389" s="167" t="s">
        <v>871</v>
      </c>
      <c r="B389" s="118">
        <v>1000</v>
      </c>
      <c r="C389" s="118" t="s">
        <v>957</v>
      </c>
      <c r="D389" s="118" t="s">
        <v>599</v>
      </c>
    </row>
    <row r="390" spans="1:4" x14ac:dyDescent="0.45">
      <c r="A390" s="167" t="s">
        <v>874</v>
      </c>
      <c r="B390" s="118">
        <v>1500</v>
      </c>
      <c r="C390" s="118" t="s">
        <v>875</v>
      </c>
      <c r="D390" s="167" t="s">
        <v>599</v>
      </c>
    </row>
    <row r="391" spans="1:4" x14ac:dyDescent="0.45">
      <c r="A391" s="167" t="s">
        <v>876</v>
      </c>
      <c r="B391" s="118">
        <f>1234+180</f>
        <v>1414</v>
      </c>
      <c r="C391" s="118" t="s">
        <v>1190</v>
      </c>
      <c r="D391" s="118" t="s">
        <v>580</v>
      </c>
    </row>
    <row r="392" spans="1:4" x14ac:dyDescent="0.45">
      <c r="A392" s="167" t="s">
        <v>876</v>
      </c>
      <c r="B392" s="118">
        <v>20</v>
      </c>
      <c r="C392" s="118" t="s">
        <v>983</v>
      </c>
      <c r="D392" s="118" t="s">
        <v>596</v>
      </c>
    </row>
    <row r="393" spans="1:4" x14ac:dyDescent="0.45">
      <c r="A393" s="167" t="s">
        <v>876</v>
      </c>
      <c r="B393" s="118">
        <v>1000</v>
      </c>
      <c r="C393" s="118" t="s">
        <v>877</v>
      </c>
      <c r="D393" s="118" t="s">
        <v>599</v>
      </c>
    </row>
    <row r="394" spans="1:4" x14ac:dyDescent="0.45">
      <c r="A394" s="167" t="s">
        <v>876</v>
      </c>
      <c r="B394" s="118">
        <v>40</v>
      </c>
      <c r="C394" s="118" t="s">
        <v>1186</v>
      </c>
      <c r="D394" s="118" t="s">
        <v>609</v>
      </c>
    </row>
    <row r="395" spans="1:4" x14ac:dyDescent="0.45">
      <c r="A395" s="167" t="s">
        <v>876</v>
      </c>
      <c r="B395" s="118">
        <v>20</v>
      </c>
      <c r="C395" s="118" t="s">
        <v>1036</v>
      </c>
      <c r="D395" s="118" t="s">
        <v>582</v>
      </c>
    </row>
    <row r="396" spans="1:4" x14ac:dyDescent="0.45">
      <c r="A396" s="167" t="s">
        <v>878</v>
      </c>
      <c r="B396" s="118">
        <v>40</v>
      </c>
      <c r="C396" s="118" t="s">
        <v>984</v>
      </c>
      <c r="D396" s="118" t="s">
        <v>609</v>
      </c>
    </row>
    <row r="397" spans="1:4" x14ac:dyDescent="0.45">
      <c r="A397" s="167" t="s">
        <v>878</v>
      </c>
      <c r="B397" s="118">
        <v>60</v>
      </c>
      <c r="C397" s="118" t="s">
        <v>850</v>
      </c>
      <c r="D397" s="118" t="s">
        <v>580</v>
      </c>
    </row>
    <row r="398" spans="1:4" x14ac:dyDescent="0.45">
      <c r="A398" s="167" t="s">
        <v>956</v>
      </c>
    </row>
    <row r="399" spans="1:4" x14ac:dyDescent="0.45">
      <c r="A399" s="167" t="s">
        <v>879</v>
      </c>
      <c r="B399" s="118">
        <v>500</v>
      </c>
      <c r="C399" s="118" t="s">
        <v>880</v>
      </c>
      <c r="D399" s="118" t="s">
        <v>599</v>
      </c>
    </row>
    <row r="400" spans="1:4" x14ac:dyDescent="0.45">
      <c r="A400" s="167" t="s">
        <v>879</v>
      </c>
      <c r="B400" s="118">
        <v>50</v>
      </c>
      <c r="C400" s="118" t="s">
        <v>1060</v>
      </c>
      <c r="D400" s="118" t="s">
        <v>967</v>
      </c>
    </row>
    <row r="401" spans="1:4" x14ac:dyDescent="0.45">
      <c r="A401" s="167" t="s">
        <v>879</v>
      </c>
      <c r="B401" s="118">
        <v>1500</v>
      </c>
      <c r="C401" s="118" t="s">
        <v>628</v>
      </c>
      <c r="D401" s="118" t="s">
        <v>629</v>
      </c>
    </row>
    <row r="402" spans="1:4" x14ac:dyDescent="0.45">
      <c r="A402" s="167" t="s">
        <v>879</v>
      </c>
      <c r="B402" s="118">
        <v>572</v>
      </c>
      <c r="C402" s="118" t="s">
        <v>1191</v>
      </c>
      <c r="D402" s="118" t="s">
        <v>580</v>
      </c>
    </row>
    <row r="403" spans="1:4" x14ac:dyDescent="0.45">
      <c r="A403" s="167" t="s">
        <v>881</v>
      </c>
      <c r="B403" s="118">
        <v>161</v>
      </c>
      <c r="C403" s="118" t="s">
        <v>1192</v>
      </c>
      <c r="D403" s="118" t="s">
        <v>580</v>
      </c>
    </row>
    <row r="404" spans="1:4" x14ac:dyDescent="0.45">
      <c r="A404" s="167" t="s">
        <v>881</v>
      </c>
      <c r="B404" s="118">
        <v>100</v>
      </c>
      <c r="C404" s="118" t="s">
        <v>1193</v>
      </c>
      <c r="D404" s="118" t="s">
        <v>959</v>
      </c>
    </row>
    <row r="405" spans="1:4" x14ac:dyDescent="0.45">
      <c r="A405" s="167" t="s">
        <v>881</v>
      </c>
      <c r="B405" s="118">
        <v>25</v>
      </c>
      <c r="C405" s="118" t="s">
        <v>826</v>
      </c>
      <c r="D405" s="118" t="s">
        <v>599</v>
      </c>
    </row>
    <row r="406" spans="1:4" x14ac:dyDescent="0.45">
      <c r="A406" s="167" t="s">
        <v>882</v>
      </c>
      <c r="B406" s="118">
        <v>610</v>
      </c>
      <c r="C406" s="118" t="s">
        <v>579</v>
      </c>
      <c r="D406" s="118" t="s">
        <v>580</v>
      </c>
    </row>
    <row r="407" spans="1:4" x14ac:dyDescent="0.45">
      <c r="A407" s="167" t="s">
        <v>882</v>
      </c>
      <c r="B407" s="118">
        <v>25</v>
      </c>
      <c r="C407" s="118" t="s">
        <v>584</v>
      </c>
      <c r="D407" s="118" t="s">
        <v>587</v>
      </c>
    </row>
    <row r="408" spans="1:4" x14ac:dyDescent="0.45">
      <c r="A408" s="167" t="s">
        <v>882</v>
      </c>
      <c r="B408" s="118">
        <v>150</v>
      </c>
      <c r="C408" s="118" t="s">
        <v>583</v>
      </c>
      <c r="D408" s="118" t="s">
        <v>586</v>
      </c>
    </row>
    <row r="409" spans="1:4" x14ac:dyDescent="0.45">
      <c r="A409" s="167" t="s">
        <v>882</v>
      </c>
      <c r="B409" s="118">
        <v>100</v>
      </c>
      <c r="C409" s="118" t="s">
        <v>581</v>
      </c>
      <c r="D409" s="118" t="s">
        <v>585</v>
      </c>
    </row>
    <row r="410" spans="1:4" x14ac:dyDescent="0.45">
      <c r="A410" s="167" t="s">
        <v>882</v>
      </c>
      <c r="B410" s="118">
        <v>400</v>
      </c>
      <c r="C410" s="118" t="s">
        <v>1066</v>
      </c>
      <c r="D410" s="118" t="s">
        <v>582</v>
      </c>
    </row>
    <row r="411" spans="1:4" x14ac:dyDescent="0.45">
      <c r="A411" s="167" t="s">
        <v>882</v>
      </c>
      <c r="B411" s="118">
        <v>30</v>
      </c>
      <c r="C411" s="118" t="s">
        <v>593</v>
      </c>
      <c r="D411" s="118" t="s">
        <v>595</v>
      </c>
    </row>
    <row r="412" spans="1:4" x14ac:dyDescent="0.45">
      <c r="A412" s="167" t="s">
        <v>883</v>
      </c>
      <c r="B412" s="118">
        <v>225</v>
      </c>
      <c r="C412" s="118" t="s">
        <v>1065</v>
      </c>
      <c r="D412" s="118" t="s">
        <v>580</v>
      </c>
    </row>
    <row r="413" spans="1:4" x14ac:dyDescent="0.45">
      <c r="A413" s="167" t="s">
        <v>883</v>
      </c>
      <c r="B413" s="118">
        <v>886</v>
      </c>
      <c r="C413" s="118" t="s">
        <v>601</v>
      </c>
      <c r="D413" s="118" t="s">
        <v>580</v>
      </c>
    </row>
    <row r="414" spans="1:4" x14ac:dyDescent="0.45">
      <c r="A414" s="167" t="s">
        <v>884</v>
      </c>
      <c r="B414" s="118">
        <v>100</v>
      </c>
      <c r="C414" s="118" t="s">
        <v>1065</v>
      </c>
      <c r="D414" s="118" t="s">
        <v>580</v>
      </c>
    </row>
    <row r="415" spans="1:4" x14ac:dyDescent="0.45">
      <c r="A415" s="167" t="s">
        <v>884</v>
      </c>
      <c r="B415" s="118">
        <v>40</v>
      </c>
      <c r="C415" s="118" t="s">
        <v>983</v>
      </c>
      <c r="D415" s="118" t="s">
        <v>596</v>
      </c>
    </row>
    <row r="416" spans="1:4" x14ac:dyDescent="0.45">
      <c r="A416" s="167" t="s">
        <v>884</v>
      </c>
      <c r="B416" s="118">
        <v>153</v>
      </c>
      <c r="C416" s="118" t="s">
        <v>579</v>
      </c>
      <c r="D416" s="118" t="s">
        <v>580</v>
      </c>
    </row>
    <row r="417" spans="1:4" x14ac:dyDescent="0.45">
      <c r="A417" s="167" t="s">
        <v>884</v>
      </c>
      <c r="B417" s="118">
        <v>20</v>
      </c>
      <c r="C417" s="118" t="s">
        <v>985</v>
      </c>
      <c r="D417" s="118" t="s">
        <v>608</v>
      </c>
    </row>
    <row r="418" spans="1:4" x14ac:dyDescent="0.45">
      <c r="A418" s="167" t="s">
        <v>884</v>
      </c>
      <c r="B418" s="118">
        <v>20</v>
      </c>
      <c r="C418" s="118" t="s">
        <v>986</v>
      </c>
      <c r="D418" s="118" t="s">
        <v>609</v>
      </c>
    </row>
    <row r="419" spans="1:4" x14ac:dyDescent="0.45">
      <c r="A419" s="167" t="s">
        <v>884</v>
      </c>
      <c r="B419" s="118">
        <v>50</v>
      </c>
      <c r="C419" s="118" t="s">
        <v>583</v>
      </c>
      <c r="D419" s="118" t="s">
        <v>586</v>
      </c>
    </row>
    <row r="420" spans="1:4" x14ac:dyDescent="0.45">
      <c r="A420" s="167" t="s">
        <v>884</v>
      </c>
      <c r="B420" s="118">
        <v>25</v>
      </c>
      <c r="C420" s="118" t="s">
        <v>805</v>
      </c>
      <c r="D420" s="118" t="s">
        <v>595</v>
      </c>
    </row>
    <row r="421" spans="1:4" x14ac:dyDescent="0.45">
      <c r="A421" s="167" t="s">
        <v>960</v>
      </c>
      <c r="B421" s="118">
        <v>25</v>
      </c>
      <c r="C421" s="118" t="s">
        <v>961</v>
      </c>
      <c r="D421" s="118" t="s">
        <v>608</v>
      </c>
    </row>
    <row r="422" spans="1:4" x14ac:dyDescent="0.45">
      <c r="A422" s="167" t="s">
        <v>960</v>
      </c>
      <c r="B422" s="118">
        <f>130+55+50</f>
        <v>235</v>
      </c>
      <c r="C422" s="118" t="s">
        <v>1194</v>
      </c>
      <c r="D422" s="118" t="s">
        <v>580</v>
      </c>
    </row>
    <row r="423" spans="1:4" x14ac:dyDescent="0.45">
      <c r="A423" s="167" t="s">
        <v>885</v>
      </c>
      <c r="B423" s="118">
        <v>75</v>
      </c>
      <c r="C423" s="118" t="s">
        <v>1064</v>
      </c>
      <c r="D423" s="118" t="s">
        <v>580</v>
      </c>
    </row>
    <row r="424" spans="1:4" x14ac:dyDescent="0.45">
      <c r="A424" s="167" t="s">
        <v>885</v>
      </c>
      <c r="B424" s="118">
        <v>55</v>
      </c>
      <c r="C424" s="118" t="s">
        <v>805</v>
      </c>
      <c r="D424" s="118" t="s">
        <v>580</v>
      </c>
    </row>
    <row r="425" spans="1:4" x14ac:dyDescent="0.45">
      <c r="A425" s="167" t="s">
        <v>886</v>
      </c>
      <c r="B425" s="118">
        <v>50</v>
      </c>
      <c r="C425" s="118" t="s">
        <v>583</v>
      </c>
      <c r="D425" s="118" t="s">
        <v>586</v>
      </c>
    </row>
    <row r="426" spans="1:4" x14ac:dyDescent="0.45">
      <c r="A426" s="167" t="s">
        <v>886</v>
      </c>
      <c r="B426" s="118">
        <v>50</v>
      </c>
      <c r="C426" s="118" t="s">
        <v>584</v>
      </c>
      <c r="D426" s="118" t="s">
        <v>587</v>
      </c>
    </row>
    <row r="427" spans="1:4" x14ac:dyDescent="0.45">
      <c r="A427" s="167" t="s">
        <v>886</v>
      </c>
      <c r="B427" s="118">
        <v>1500</v>
      </c>
      <c r="C427" s="118" t="s">
        <v>887</v>
      </c>
      <c r="D427" s="118" t="s">
        <v>580</v>
      </c>
    </row>
    <row r="428" spans="1:4" x14ac:dyDescent="0.45">
      <c r="A428" s="167" t="s">
        <v>886</v>
      </c>
      <c r="B428" s="118">
        <v>60</v>
      </c>
      <c r="C428" s="118" t="s">
        <v>986</v>
      </c>
      <c r="D428" s="118" t="s">
        <v>609</v>
      </c>
    </row>
    <row r="429" spans="1:4" x14ac:dyDescent="0.45">
      <c r="A429" s="167" t="s">
        <v>886</v>
      </c>
      <c r="B429" s="118">
        <v>20</v>
      </c>
      <c r="C429" s="118" t="s">
        <v>1036</v>
      </c>
      <c r="D429" s="118" t="s">
        <v>582</v>
      </c>
    </row>
    <row r="430" spans="1:4" x14ac:dyDescent="0.45">
      <c r="A430" s="167" t="s">
        <v>888</v>
      </c>
      <c r="B430" s="118">
        <v>160</v>
      </c>
      <c r="C430" s="118" t="s">
        <v>1195</v>
      </c>
      <c r="D430" s="118" t="s">
        <v>580</v>
      </c>
    </row>
    <row r="431" spans="1:4" x14ac:dyDescent="0.45">
      <c r="A431" s="167" t="s">
        <v>888</v>
      </c>
      <c r="B431" s="118">
        <f>75+225</f>
        <v>300</v>
      </c>
      <c r="C431" s="118" t="s">
        <v>1193</v>
      </c>
      <c r="D431" s="118" t="s">
        <v>959</v>
      </c>
    </row>
    <row r="432" spans="1:4" x14ac:dyDescent="0.45">
      <c r="A432" s="167" t="s">
        <v>889</v>
      </c>
      <c r="B432" s="118">
        <v>75</v>
      </c>
      <c r="C432" s="118" t="s">
        <v>1065</v>
      </c>
      <c r="D432" s="118" t="s">
        <v>580</v>
      </c>
    </row>
    <row r="433" spans="1:4" x14ac:dyDescent="0.45">
      <c r="A433" s="167" t="s">
        <v>889</v>
      </c>
      <c r="B433" s="118">
        <v>40</v>
      </c>
      <c r="C433" s="118" t="s">
        <v>983</v>
      </c>
      <c r="D433" s="118" t="s">
        <v>596</v>
      </c>
    </row>
    <row r="434" spans="1:4" x14ac:dyDescent="0.45">
      <c r="A434" s="167" t="s">
        <v>889</v>
      </c>
      <c r="B434" s="118">
        <v>30</v>
      </c>
      <c r="C434" s="118" t="s">
        <v>809</v>
      </c>
      <c r="D434" s="118" t="s">
        <v>580</v>
      </c>
    </row>
    <row r="435" spans="1:4" x14ac:dyDescent="0.45">
      <c r="A435" s="167" t="s">
        <v>890</v>
      </c>
      <c r="B435" s="118">
        <v>20</v>
      </c>
      <c r="C435" s="118" t="s">
        <v>986</v>
      </c>
      <c r="D435" s="118" t="s">
        <v>609</v>
      </c>
    </row>
    <row r="436" spans="1:4" x14ac:dyDescent="0.45">
      <c r="A436" s="167" t="s">
        <v>890</v>
      </c>
      <c r="B436" s="118">
        <f>54+50+50</f>
        <v>154</v>
      </c>
      <c r="C436" s="118" t="s">
        <v>1196</v>
      </c>
      <c r="D436" s="118" t="s">
        <v>580</v>
      </c>
    </row>
    <row r="437" spans="1:4" x14ac:dyDescent="0.45">
      <c r="A437" s="167" t="s">
        <v>890</v>
      </c>
      <c r="B437" s="118">
        <v>25</v>
      </c>
      <c r="C437" s="118" t="s">
        <v>1067</v>
      </c>
      <c r="D437" s="118" t="s">
        <v>959</v>
      </c>
    </row>
    <row r="438" spans="1:4" x14ac:dyDescent="0.45">
      <c r="A438" s="167" t="s">
        <v>892</v>
      </c>
      <c r="B438" s="118">
        <v>75</v>
      </c>
      <c r="C438" s="118" t="s">
        <v>1197</v>
      </c>
      <c r="D438" s="118" t="s">
        <v>580</v>
      </c>
    </row>
    <row r="439" spans="1:4" x14ac:dyDescent="0.45">
      <c r="A439" s="167" t="s">
        <v>892</v>
      </c>
      <c r="B439" s="118">
        <f>620+100+30</f>
        <v>750</v>
      </c>
      <c r="C439" s="118" t="s">
        <v>1133</v>
      </c>
      <c r="D439" s="118" t="s">
        <v>580</v>
      </c>
    </row>
    <row r="440" spans="1:4" x14ac:dyDescent="0.45">
      <c r="A440" s="167" t="s">
        <v>896</v>
      </c>
      <c r="B440" s="118">
        <v>20</v>
      </c>
      <c r="C440" s="118" t="s">
        <v>986</v>
      </c>
      <c r="D440" s="167" t="s">
        <v>609</v>
      </c>
    </row>
    <row r="441" spans="1:4" x14ac:dyDescent="0.45">
      <c r="A441" s="167" t="s">
        <v>896</v>
      </c>
      <c r="B441" s="118">
        <v>60</v>
      </c>
      <c r="C441" s="118" t="s">
        <v>1036</v>
      </c>
      <c r="D441" s="118" t="s">
        <v>582</v>
      </c>
    </row>
    <row r="442" spans="1:4" x14ac:dyDescent="0.45">
      <c r="A442" s="167" t="s">
        <v>896</v>
      </c>
      <c r="B442" s="118">
        <v>60</v>
      </c>
      <c r="C442" s="118" t="s">
        <v>897</v>
      </c>
      <c r="D442" s="118" t="s">
        <v>595</v>
      </c>
    </row>
    <row r="443" spans="1:4" x14ac:dyDescent="0.45">
      <c r="A443" s="167" t="s">
        <v>896</v>
      </c>
      <c r="B443" s="118">
        <v>50</v>
      </c>
      <c r="C443" s="118" t="s">
        <v>584</v>
      </c>
      <c r="D443" s="118" t="s">
        <v>587</v>
      </c>
    </row>
    <row r="444" spans="1:4" x14ac:dyDescent="0.45">
      <c r="A444" s="167" t="s">
        <v>896</v>
      </c>
      <c r="B444" s="118">
        <v>25</v>
      </c>
      <c r="C444" s="118" t="s">
        <v>618</v>
      </c>
      <c r="D444" s="118" t="s">
        <v>586</v>
      </c>
    </row>
    <row r="445" spans="1:4" x14ac:dyDescent="0.45">
      <c r="A445" s="167" t="s">
        <v>898</v>
      </c>
      <c r="B445" s="118">
        <f>478+180</f>
        <v>658</v>
      </c>
      <c r="C445" s="118" t="s">
        <v>1198</v>
      </c>
      <c r="D445" s="118" t="s">
        <v>580</v>
      </c>
    </row>
    <row r="446" spans="1:4" x14ac:dyDescent="0.45">
      <c r="A446" s="167" t="s">
        <v>898</v>
      </c>
      <c r="B446" s="118">
        <v>325</v>
      </c>
      <c r="C446" s="118" t="s">
        <v>1065</v>
      </c>
      <c r="D446" s="118" t="s">
        <v>959</v>
      </c>
    </row>
    <row r="447" spans="1:4" x14ac:dyDescent="0.45">
      <c r="A447" s="167" t="s">
        <v>898</v>
      </c>
      <c r="B447" s="118">
        <v>140</v>
      </c>
      <c r="C447" s="118" t="s">
        <v>986</v>
      </c>
      <c r="D447" s="118" t="s">
        <v>609</v>
      </c>
    </row>
    <row r="448" spans="1:4" x14ac:dyDescent="0.45">
      <c r="A448" s="167" t="s">
        <v>898</v>
      </c>
      <c r="B448" s="118">
        <f>100+120+620+50</f>
        <v>890</v>
      </c>
      <c r="C448" s="118" t="s">
        <v>1134</v>
      </c>
      <c r="D448" s="118" t="s">
        <v>582</v>
      </c>
    </row>
    <row r="449" spans="1:4" x14ac:dyDescent="0.45">
      <c r="A449" s="167" t="s">
        <v>899</v>
      </c>
      <c r="B449" s="118">
        <v>50</v>
      </c>
      <c r="C449" s="118" t="s">
        <v>1069</v>
      </c>
      <c r="D449" s="118" t="s">
        <v>580</v>
      </c>
    </row>
    <row r="450" spans="1:4" x14ac:dyDescent="0.45">
      <c r="A450" s="167" t="s">
        <v>899</v>
      </c>
      <c r="B450" s="118">
        <f>243+100+30</f>
        <v>373</v>
      </c>
      <c r="C450" s="118" t="s">
        <v>1142</v>
      </c>
      <c r="D450" s="118" t="s">
        <v>580</v>
      </c>
    </row>
    <row r="451" spans="1:4" x14ac:dyDescent="0.45">
      <c r="A451" s="167" t="s">
        <v>900</v>
      </c>
    </row>
    <row r="452" spans="1:4" x14ac:dyDescent="0.45">
      <c r="A452" s="167" t="s">
        <v>492</v>
      </c>
      <c r="B452" s="118">
        <v>90</v>
      </c>
      <c r="C452" s="118" t="s">
        <v>648</v>
      </c>
      <c r="D452" s="118" t="s">
        <v>595</v>
      </c>
    </row>
    <row r="453" spans="1:4" x14ac:dyDescent="0.45">
      <c r="A453" s="167" t="s">
        <v>492</v>
      </c>
      <c r="B453" s="118">
        <v>25</v>
      </c>
      <c r="C453" s="118" t="s">
        <v>660</v>
      </c>
      <c r="D453" s="118" t="s">
        <v>582</v>
      </c>
    </row>
    <row r="454" spans="1:4" x14ac:dyDescent="0.45">
      <c r="A454" s="167" t="s">
        <v>492</v>
      </c>
      <c r="B454" s="118">
        <v>20</v>
      </c>
      <c r="C454" s="118" t="s">
        <v>986</v>
      </c>
      <c r="D454" s="118" t="s">
        <v>609</v>
      </c>
    </row>
    <row r="455" spans="1:4" x14ac:dyDescent="0.45">
      <c r="A455" s="167" t="s">
        <v>492</v>
      </c>
      <c r="B455" s="118">
        <v>50</v>
      </c>
      <c r="C455" s="118" t="s">
        <v>583</v>
      </c>
      <c r="D455" s="118" t="s">
        <v>586</v>
      </c>
    </row>
    <row r="456" spans="1:4" x14ac:dyDescent="0.45">
      <c r="A456" s="167" t="s">
        <v>492</v>
      </c>
      <c r="B456" s="118">
        <v>25</v>
      </c>
      <c r="C456" s="118" t="s">
        <v>826</v>
      </c>
      <c r="D456" s="118" t="s">
        <v>599</v>
      </c>
    </row>
    <row r="457" spans="1:4" x14ac:dyDescent="0.45">
      <c r="A457" s="167" t="s">
        <v>492</v>
      </c>
      <c r="B457" s="118">
        <v>25</v>
      </c>
      <c r="C457" s="118" t="s">
        <v>901</v>
      </c>
      <c r="D457" s="118" t="s">
        <v>962</v>
      </c>
    </row>
    <row r="458" spans="1:4" x14ac:dyDescent="0.45">
      <c r="A458" s="167" t="s">
        <v>492</v>
      </c>
      <c r="B458" s="118">
        <v>100</v>
      </c>
      <c r="C458" s="118" t="s">
        <v>1070</v>
      </c>
      <c r="D458" s="118" t="s">
        <v>582</v>
      </c>
    </row>
    <row r="459" spans="1:4" x14ac:dyDescent="0.45">
      <c r="A459" s="167" t="s">
        <v>902</v>
      </c>
      <c r="B459" s="118">
        <v>100</v>
      </c>
      <c r="C459" s="118" t="s">
        <v>1065</v>
      </c>
      <c r="D459" s="118" t="s">
        <v>580</v>
      </c>
    </row>
    <row r="460" spans="1:4" x14ac:dyDescent="0.45">
      <c r="A460" s="167" t="s">
        <v>903</v>
      </c>
      <c r="B460" s="118">
        <v>50</v>
      </c>
      <c r="C460" s="118" t="s">
        <v>963</v>
      </c>
      <c r="D460" s="118" t="s">
        <v>595</v>
      </c>
    </row>
    <row r="461" spans="1:4" x14ac:dyDescent="0.45">
      <c r="A461" s="167" t="s">
        <v>903</v>
      </c>
      <c r="B461" s="118">
        <v>20</v>
      </c>
      <c r="C461" s="118" t="s">
        <v>1071</v>
      </c>
      <c r="D461" s="118" t="s">
        <v>596</v>
      </c>
    </row>
    <row r="462" spans="1:4" x14ac:dyDescent="0.45">
      <c r="A462" s="167" t="s">
        <v>903</v>
      </c>
      <c r="B462" s="118">
        <v>50</v>
      </c>
      <c r="C462" s="118" t="s">
        <v>682</v>
      </c>
      <c r="D462" s="118" t="s">
        <v>582</v>
      </c>
    </row>
    <row r="463" spans="1:4" x14ac:dyDescent="0.45">
      <c r="A463" s="167" t="s">
        <v>904</v>
      </c>
      <c r="B463" s="118">
        <v>50</v>
      </c>
      <c r="C463" s="118" t="s">
        <v>1065</v>
      </c>
      <c r="D463" s="118" t="s">
        <v>580</v>
      </c>
    </row>
    <row r="464" spans="1:4" x14ac:dyDescent="0.45">
      <c r="A464" s="167" t="s">
        <v>904</v>
      </c>
      <c r="B464" s="118">
        <v>155</v>
      </c>
      <c r="C464" s="118" t="s">
        <v>579</v>
      </c>
      <c r="D464" s="118" t="s">
        <v>580</v>
      </c>
    </row>
    <row r="465" spans="1:4" x14ac:dyDescent="0.45">
      <c r="A465" s="167" t="s">
        <v>904</v>
      </c>
      <c r="B465" s="118">
        <v>25</v>
      </c>
      <c r="C465" s="118" t="s">
        <v>660</v>
      </c>
      <c r="D465" s="118" t="s">
        <v>582</v>
      </c>
    </row>
    <row r="466" spans="1:4" x14ac:dyDescent="0.45">
      <c r="A466" s="167" t="s">
        <v>905</v>
      </c>
      <c r="B466" s="118">
        <v>75</v>
      </c>
      <c r="C466" s="118" t="s">
        <v>906</v>
      </c>
      <c r="D466" s="118" t="s">
        <v>580</v>
      </c>
    </row>
    <row r="467" spans="1:4" x14ac:dyDescent="0.45">
      <c r="A467" s="167" t="s">
        <v>905</v>
      </c>
      <c r="B467" s="118">
        <f>75+50</f>
        <v>125</v>
      </c>
      <c r="C467" s="118" t="s">
        <v>1135</v>
      </c>
      <c r="D467" s="118" t="s">
        <v>580</v>
      </c>
    </row>
    <row r="468" spans="1:4" x14ac:dyDescent="0.45">
      <c r="A468" s="167" t="s">
        <v>905</v>
      </c>
      <c r="B468" s="118">
        <v>500</v>
      </c>
      <c r="C468" s="118" t="s">
        <v>1136</v>
      </c>
      <c r="D468" s="118" t="s">
        <v>599</v>
      </c>
    </row>
    <row r="469" spans="1:4" x14ac:dyDescent="0.45">
      <c r="A469" s="167" t="s">
        <v>907</v>
      </c>
      <c r="B469" s="118">
        <v>40</v>
      </c>
      <c r="C469" s="118" t="s">
        <v>987</v>
      </c>
      <c r="D469" s="118" t="s">
        <v>596</v>
      </c>
    </row>
    <row r="470" spans="1:4" x14ac:dyDescent="0.45">
      <c r="A470" s="167" t="s">
        <v>907</v>
      </c>
      <c r="B470" s="118">
        <v>75</v>
      </c>
      <c r="C470" s="118" t="s">
        <v>583</v>
      </c>
      <c r="D470" s="118" t="s">
        <v>586</v>
      </c>
    </row>
    <row r="471" spans="1:4" x14ac:dyDescent="0.45">
      <c r="A471" s="167" t="s">
        <v>485</v>
      </c>
      <c r="B471" s="118">
        <v>447</v>
      </c>
      <c r="C471" s="118" t="s">
        <v>908</v>
      </c>
      <c r="D471" s="118" t="s">
        <v>580</v>
      </c>
    </row>
    <row r="472" spans="1:4" x14ac:dyDescent="0.45">
      <c r="A472" s="167" t="s">
        <v>493</v>
      </c>
      <c r="B472" s="118">
        <v>25</v>
      </c>
      <c r="C472" s="118" t="s">
        <v>909</v>
      </c>
      <c r="D472" s="167" t="s">
        <v>586</v>
      </c>
    </row>
    <row r="473" spans="1:4" x14ac:dyDescent="0.45">
      <c r="A473" s="167" t="s">
        <v>493</v>
      </c>
      <c r="B473" s="118">
        <v>50</v>
      </c>
      <c r="C473" s="118" t="s">
        <v>1074</v>
      </c>
      <c r="D473" s="167" t="s">
        <v>959</v>
      </c>
    </row>
    <row r="474" spans="1:4" x14ac:dyDescent="0.45">
      <c r="A474" s="167" t="s">
        <v>493</v>
      </c>
      <c r="B474" s="118">
        <v>20</v>
      </c>
      <c r="C474" s="118" t="s">
        <v>1036</v>
      </c>
      <c r="D474" s="118" t="s">
        <v>582</v>
      </c>
    </row>
    <row r="475" spans="1:4" x14ac:dyDescent="0.45">
      <c r="A475" s="167" t="s">
        <v>493</v>
      </c>
      <c r="B475" s="118">
        <v>100</v>
      </c>
      <c r="C475" s="118" t="s">
        <v>581</v>
      </c>
      <c r="D475" s="118" t="s">
        <v>585</v>
      </c>
    </row>
    <row r="476" spans="1:4" x14ac:dyDescent="0.45">
      <c r="A476" s="167" t="s">
        <v>493</v>
      </c>
      <c r="B476" s="118">
        <v>150</v>
      </c>
      <c r="C476" s="118" t="s">
        <v>910</v>
      </c>
      <c r="D476" s="118" t="s">
        <v>861</v>
      </c>
    </row>
    <row r="477" spans="1:4" x14ac:dyDescent="0.45">
      <c r="A477" s="167" t="s">
        <v>493</v>
      </c>
      <c r="B477" s="118">
        <v>50</v>
      </c>
      <c r="C477" s="118" t="s">
        <v>906</v>
      </c>
      <c r="D477" s="118" t="s">
        <v>858</v>
      </c>
    </row>
    <row r="478" spans="1:4" x14ac:dyDescent="0.45">
      <c r="A478" s="167" t="s">
        <v>493</v>
      </c>
      <c r="B478" s="118">
        <v>25</v>
      </c>
      <c r="C478" s="118" t="s">
        <v>911</v>
      </c>
      <c r="D478" s="118" t="s">
        <v>857</v>
      </c>
    </row>
    <row r="479" spans="1:4" x14ac:dyDescent="0.45">
      <c r="A479" s="167" t="s">
        <v>912</v>
      </c>
      <c r="B479" s="118">
        <v>50</v>
      </c>
      <c r="C479" s="118" t="s">
        <v>1064</v>
      </c>
      <c r="D479" s="118" t="s">
        <v>580</v>
      </c>
    </row>
    <row r="480" spans="1:4" x14ac:dyDescent="0.45">
      <c r="A480" s="167" t="s">
        <v>912</v>
      </c>
      <c r="B480" s="118">
        <v>100</v>
      </c>
      <c r="C480" s="118" t="s">
        <v>581</v>
      </c>
      <c r="D480" s="118" t="s">
        <v>580</v>
      </c>
    </row>
    <row r="481" spans="1:4" x14ac:dyDescent="0.45">
      <c r="A481" s="167" t="s">
        <v>913</v>
      </c>
      <c r="B481" s="118">
        <v>75</v>
      </c>
      <c r="C481" s="118" t="s">
        <v>584</v>
      </c>
      <c r="D481" s="118" t="s">
        <v>580</v>
      </c>
    </row>
    <row r="482" spans="1:4" x14ac:dyDescent="0.45">
      <c r="A482" s="167" t="s">
        <v>913</v>
      </c>
      <c r="B482" s="118">
        <v>40</v>
      </c>
      <c r="C482" s="118" t="s">
        <v>1063</v>
      </c>
      <c r="D482" s="118" t="s">
        <v>582</v>
      </c>
    </row>
    <row r="483" spans="1:4" x14ac:dyDescent="0.45">
      <c r="A483" s="167" t="s">
        <v>913</v>
      </c>
      <c r="B483" s="118">
        <v>25</v>
      </c>
      <c r="C483" s="118" t="s">
        <v>660</v>
      </c>
      <c r="D483" s="118" t="s">
        <v>582</v>
      </c>
    </row>
    <row r="484" spans="1:4" x14ac:dyDescent="0.45">
      <c r="A484" s="167" t="s">
        <v>913</v>
      </c>
      <c r="B484" s="118">
        <v>20</v>
      </c>
      <c r="C484" s="118" t="s">
        <v>986</v>
      </c>
      <c r="D484" s="118" t="s">
        <v>609</v>
      </c>
    </row>
    <row r="485" spans="1:4" x14ac:dyDescent="0.45">
      <c r="A485" s="167" t="s">
        <v>913</v>
      </c>
      <c r="B485" s="118">
        <v>20</v>
      </c>
      <c r="C485" s="118" t="s">
        <v>983</v>
      </c>
      <c r="D485" s="118" t="s">
        <v>596</v>
      </c>
    </row>
    <row r="486" spans="1:4" x14ac:dyDescent="0.45">
      <c r="A486" s="167" t="s">
        <v>914</v>
      </c>
      <c r="B486" s="118">
        <v>150</v>
      </c>
      <c r="C486" s="118" t="s">
        <v>1075</v>
      </c>
      <c r="D486" s="118" t="s">
        <v>959</v>
      </c>
    </row>
    <row r="487" spans="1:4" x14ac:dyDescent="0.45">
      <c r="A487" s="167" t="s">
        <v>914</v>
      </c>
      <c r="B487" s="118">
        <v>25</v>
      </c>
      <c r="C487" s="118" t="s">
        <v>1076</v>
      </c>
      <c r="D487" s="118" t="s">
        <v>964</v>
      </c>
    </row>
    <row r="488" spans="1:4" x14ac:dyDescent="0.45">
      <c r="A488" s="167" t="s">
        <v>914</v>
      </c>
      <c r="B488" s="118">
        <v>25</v>
      </c>
      <c r="C488" s="118" t="s">
        <v>1077</v>
      </c>
      <c r="D488" s="118" t="s">
        <v>965</v>
      </c>
    </row>
    <row r="489" spans="1:4" x14ac:dyDescent="0.45">
      <c r="A489" s="167" t="s">
        <v>915</v>
      </c>
      <c r="B489" s="118">
        <v>40</v>
      </c>
      <c r="C489" s="118" t="s">
        <v>986</v>
      </c>
      <c r="D489" s="118" t="s">
        <v>609</v>
      </c>
    </row>
    <row r="490" spans="1:4" x14ac:dyDescent="0.45">
      <c r="A490" s="167" t="s">
        <v>915</v>
      </c>
      <c r="B490" s="118">
        <v>201</v>
      </c>
      <c r="C490" s="118" t="s">
        <v>579</v>
      </c>
      <c r="D490" s="118" t="s">
        <v>580</v>
      </c>
    </row>
    <row r="491" spans="1:4" x14ac:dyDescent="0.45">
      <c r="A491" s="167" t="s">
        <v>915</v>
      </c>
      <c r="B491" s="118">
        <v>50</v>
      </c>
      <c r="C491" s="118" t="s">
        <v>584</v>
      </c>
      <c r="D491" s="118" t="s">
        <v>587</v>
      </c>
    </row>
    <row r="492" spans="1:4" x14ac:dyDescent="0.45">
      <c r="A492" s="167" t="s">
        <v>915</v>
      </c>
      <c r="B492" s="118">
        <v>2392</v>
      </c>
      <c r="C492" s="118" t="s">
        <v>672</v>
      </c>
      <c r="D492" s="118" t="s">
        <v>580</v>
      </c>
    </row>
    <row r="493" spans="1:4" x14ac:dyDescent="0.45">
      <c r="A493" s="167" t="s">
        <v>915</v>
      </c>
      <c r="B493" s="118">
        <v>20</v>
      </c>
      <c r="C493" s="118" t="s">
        <v>983</v>
      </c>
      <c r="D493" s="118" t="s">
        <v>596</v>
      </c>
    </row>
    <row r="494" spans="1:4" x14ac:dyDescent="0.45">
      <c r="A494" s="167" t="s">
        <v>915</v>
      </c>
      <c r="B494" s="118">
        <v>20</v>
      </c>
      <c r="C494" s="118" t="s">
        <v>1078</v>
      </c>
      <c r="D494" s="118" t="s">
        <v>966</v>
      </c>
    </row>
    <row r="495" spans="1:4" x14ac:dyDescent="0.45">
      <c r="A495" s="167" t="s">
        <v>915</v>
      </c>
      <c r="B495" s="118">
        <v>291</v>
      </c>
      <c r="C495" s="118" t="s">
        <v>916</v>
      </c>
      <c r="D495" s="118" t="s">
        <v>966</v>
      </c>
    </row>
    <row r="496" spans="1:4" x14ac:dyDescent="0.45">
      <c r="A496" s="167" t="s">
        <v>917</v>
      </c>
    </row>
    <row r="497" spans="1:4" x14ac:dyDescent="0.45">
      <c r="A497" s="167" t="s">
        <v>486</v>
      </c>
      <c r="B497" s="118">
        <v>250</v>
      </c>
      <c r="C497" s="118" t="s">
        <v>581</v>
      </c>
      <c r="D497" s="118" t="s">
        <v>585</v>
      </c>
    </row>
    <row r="498" spans="1:4" x14ac:dyDescent="0.45">
      <c r="A498" s="167" t="s">
        <v>486</v>
      </c>
      <c r="B498" s="118">
        <v>275</v>
      </c>
      <c r="C498" s="118" t="s">
        <v>584</v>
      </c>
      <c r="D498" s="118" t="s">
        <v>587</v>
      </c>
    </row>
    <row r="499" spans="1:4" x14ac:dyDescent="0.45">
      <c r="A499" s="167" t="s">
        <v>486</v>
      </c>
      <c r="B499" s="118">
        <v>115</v>
      </c>
      <c r="C499" s="118" t="s">
        <v>593</v>
      </c>
      <c r="D499" s="118" t="s">
        <v>595</v>
      </c>
    </row>
    <row r="500" spans="1:4" x14ac:dyDescent="0.45">
      <c r="A500" s="167" t="s">
        <v>486</v>
      </c>
      <c r="B500" s="118">
        <v>75</v>
      </c>
      <c r="C500" s="118" t="s">
        <v>990</v>
      </c>
      <c r="D500" s="118" t="s">
        <v>609</v>
      </c>
    </row>
    <row r="501" spans="1:4" x14ac:dyDescent="0.45">
      <c r="A501" s="167" t="s">
        <v>486</v>
      </c>
      <c r="B501" s="118">
        <v>60</v>
      </c>
      <c r="C501" s="118" t="s">
        <v>1079</v>
      </c>
      <c r="D501" s="118" t="s">
        <v>974</v>
      </c>
    </row>
    <row r="502" spans="1:4" x14ac:dyDescent="0.45">
      <c r="A502" s="167" t="s">
        <v>486</v>
      </c>
      <c r="B502" s="118">
        <v>150</v>
      </c>
      <c r="C502" s="118" t="s">
        <v>1199</v>
      </c>
      <c r="D502" s="118" t="s">
        <v>967</v>
      </c>
    </row>
    <row r="503" spans="1:4" x14ac:dyDescent="0.45">
      <c r="A503" s="167" t="s">
        <v>486</v>
      </c>
      <c r="B503" s="118">
        <v>100</v>
      </c>
      <c r="C503" s="118" t="s">
        <v>583</v>
      </c>
      <c r="D503" s="118" t="s">
        <v>586</v>
      </c>
    </row>
    <row r="504" spans="1:4" x14ac:dyDescent="0.45">
      <c r="A504" s="167" t="s">
        <v>486</v>
      </c>
      <c r="B504" s="118">
        <v>100</v>
      </c>
      <c r="C504" s="118" t="s">
        <v>1137</v>
      </c>
      <c r="D504" s="118" t="s">
        <v>582</v>
      </c>
    </row>
    <row r="505" spans="1:4" x14ac:dyDescent="0.45">
      <c r="A505" s="167" t="s">
        <v>918</v>
      </c>
      <c r="B505" s="118">
        <v>100</v>
      </c>
      <c r="C505" s="118" t="s">
        <v>584</v>
      </c>
      <c r="D505" s="118" t="s">
        <v>587</v>
      </c>
    </row>
    <row r="506" spans="1:4" x14ac:dyDescent="0.45">
      <c r="A506" s="167" t="s">
        <v>918</v>
      </c>
      <c r="B506" s="118">
        <v>100</v>
      </c>
      <c r="C506" s="118" t="s">
        <v>583</v>
      </c>
      <c r="D506" s="118" t="s">
        <v>586</v>
      </c>
    </row>
    <row r="507" spans="1:4" x14ac:dyDescent="0.45">
      <c r="A507" s="167" t="s">
        <v>918</v>
      </c>
      <c r="B507" s="118">
        <v>110</v>
      </c>
      <c r="C507" s="118" t="s">
        <v>1200</v>
      </c>
      <c r="D507" s="118" t="s">
        <v>967</v>
      </c>
    </row>
    <row r="508" spans="1:4" x14ac:dyDescent="0.45">
      <c r="A508" s="167" t="s">
        <v>918</v>
      </c>
      <c r="B508" s="118">
        <v>150</v>
      </c>
      <c r="C508" s="118" t="s">
        <v>581</v>
      </c>
      <c r="D508" s="118" t="s">
        <v>585</v>
      </c>
    </row>
    <row r="509" spans="1:4" x14ac:dyDescent="0.45">
      <c r="A509" s="167" t="s">
        <v>918</v>
      </c>
      <c r="B509" s="118">
        <v>125</v>
      </c>
      <c r="C509" s="118" t="s">
        <v>990</v>
      </c>
      <c r="D509" s="118" t="s">
        <v>609</v>
      </c>
    </row>
    <row r="510" spans="1:4" x14ac:dyDescent="0.45">
      <c r="A510" s="167" t="s">
        <v>918</v>
      </c>
      <c r="B510" s="118">
        <v>60</v>
      </c>
      <c r="C510" s="118" t="s">
        <v>593</v>
      </c>
      <c r="D510" s="118" t="s">
        <v>595</v>
      </c>
    </row>
    <row r="511" spans="1:4" x14ac:dyDescent="0.45">
      <c r="A511" s="167" t="s">
        <v>918</v>
      </c>
      <c r="B511" s="118">
        <v>350</v>
      </c>
      <c r="C511" s="118" t="s">
        <v>920</v>
      </c>
      <c r="D511" s="118" t="s">
        <v>958</v>
      </c>
    </row>
    <row r="512" spans="1:4" x14ac:dyDescent="0.45">
      <c r="A512" s="167" t="s">
        <v>921</v>
      </c>
      <c r="B512" s="118">
        <f>200+225+30+75</f>
        <v>530</v>
      </c>
      <c r="C512" s="118" t="s">
        <v>1201</v>
      </c>
      <c r="D512" s="118" t="s">
        <v>580</v>
      </c>
    </row>
    <row r="513" spans="1:4" x14ac:dyDescent="0.45">
      <c r="A513" s="167" t="s">
        <v>921</v>
      </c>
      <c r="B513" s="118">
        <v>1500</v>
      </c>
      <c r="C513" s="118" t="s">
        <v>873</v>
      </c>
      <c r="D513" s="118" t="s">
        <v>599</v>
      </c>
    </row>
    <row r="514" spans="1:4" x14ac:dyDescent="0.45">
      <c r="A514" s="167" t="s">
        <v>921</v>
      </c>
      <c r="B514" s="118">
        <v>20</v>
      </c>
      <c r="C514" s="118" t="s">
        <v>1081</v>
      </c>
      <c r="D514" s="118" t="s">
        <v>968</v>
      </c>
    </row>
    <row r="515" spans="1:4" x14ac:dyDescent="0.45">
      <c r="A515" s="167" t="s">
        <v>921</v>
      </c>
      <c r="B515" s="118">
        <v>20</v>
      </c>
      <c r="C515" s="118" t="s">
        <v>1082</v>
      </c>
      <c r="D515" s="118" t="s">
        <v>580</v>
      </c>
    </row>
    <row r="516" spans="1:4" x14ac:dyDescent="0.45">
      <c r="A516" s="167" t="s">
        <v>921</v>
      </c>
      <c r="B516" s="118">
        <v>20</v>
      </c>
      <c r="C516" s="118" t="s">
        <v>1083</v>
      </c>
      <c r="D516" s="118" t="s">
        <v>969</v>
      </c>
    </row>
    <row r="517" spans="1:4" x14ac:dyDescent="0.45">
      <c r="A517" s="167" t="s">
        <v>921</v>
      </c>
      <c r="B517" s="118">
        <v>50</v>
      </c>
      <c r="C517" s="118" t="s">
        <v>922</v>
      </c>
      <c r="D517" s="118" t="s">
        <v>970</v>
      </c>
    </row>
    <row r="518" spans="1:4" x14ac:dyDescent="0.45">
      <c r="A518" s="167" t="s">
        <v>924</v>
      </c>
      <c r="B518" s="118">
        <v>75</v>
      </c>
      <c r="C518" s="118" t="s">
        <v>1084</v>
      </c>
      <c r="D518" s="118" t="s">
        <v>580</v>
      </c>
    </row>
    <row r="519" spans="1:4" x14ac:dyDescent="0.45">
      <c r="A519" s="167" t="s">
        <v>924</v>
      </c>
      <c r="B519" s="118">
        <f>75+50+100+60</f>
        <v>285</v>
      </c>
      <c r="C519" s="118" t="s">
        <v>1202</v>
      </c>
      <c r="D519" s="118" t="s">
        <v>580</v>
      </c>
    </row>
    <row r="520" spans="1:4" x14ac:dyDescent="0.45">
      <c r="A520" s="167" t="s">
        <v>925</v>
      </c>
      <c r="B520" s="118">
        <f>250+100+100+90</f>
        <v>540</v>
      </c>
      <c r="C520" s="118" t="s">
        <v>1203</v>
      </c>
      <c r="D520" s="118" t="s">
        <v>580</v>
      </c>
    </row>
    <row r="521" spans="1:4" x14ac:dyDescent="0.45">
      <c r="A521" s="167" t="s">
        <v>925</v>
      </c>
      <c r="B521" s="118">
        <v>12220</v>
      </c>
      <c r="C521" s="118" t="s">
        <v>673</v>
      </c>
      <c r="D521" s="118" t="s">
        <v>580</v>
      </c>
    </row>
    <row r="522" spans="1:4" x14ac:dyDescent="0.45">
      <c r="A522" s="167" t="s">
        <v>925</v>
      </c>
      <c r="B522" s="118">
        <v>40</v>
      </c>
      <c r="C522" s="118" t="s">
        <v>1085</v>
      </c>
      <c r="D522" s="118" t="s">
        <v>977</v>
      </c>
    </row>
    <row r="523" spans="1:4" x14ac:dyDescent="0.45">
      <c r="A523" s="167" t="s">
        <v>925</v>
      </c>
      <c r="B523" s="118">
        <v>195</v>
      </c>
      <c r="C523" s="118" t="s">
        <v>1204</v>
      </c>
      <c r="D523" s="118" t="s">
        <v>967</v>
      </c>
    </row>
    <row r="524" spans="1:4" x14ac:dyDescent="0.45">
      <c r="A524" s="167" t="s">
        <v>926</v>
      </c>
      <c r="B524" s="118">
        <v>105</v>
      </c>
      <c r="C524" s="118" t="s">
        <v>1205</v>
      </c>
      <c r="D524" s="118" t="s">
        <v>580</v>
      </c>
    </row>
    <row r="525" spans="1:4" x14ac:dyDescent="0.45">
      <c r="A525" s="167" t="s">
        <v>926</v>
      </c>
      <c r="B525" s="118">
        <v>1500</v>
      </c>
      <c r="C525" s="118" t="s">
        <v>927</v>
      </c>
      <c r="D525" s="118" t="s">
        <v>971</v>
      </c>
    </row>
    <row r="526" spans="1:4" x14ac:dyDescent="0.45">
      <c r="A526" s="167" t="s">
        <v>928</v>
      </c>
      <c r="B526" s="118">
        <v>60</v>
      </c>
      <c r="C526" s="118" t="s">
        <v>1206</v>
      </c>
      <c r="D526" s="118" t="s">
        <v>974</v>
      </c>
    </row>
    <row r="527" spans="1:4" x14ac:dyDescent="0.45">
      <c r="A527" s="167" t="s">
        <v>928</v>
      </c>
      <c r="B527" s="118">
        <f>110+75</f>
        <v>185</v>
      </c>
      <c r="C527" s="118" t="s">
        <v>1207</v>
      </c>
      <c r="D527" s="118" t="s">
        <v>967</v>
      </c>
    </row>
    <row r="528" spans="1:4" x14ac:dyDescent="0.45">
      <c r="A528" s="167" t="s">
        <v>928</v>
      </c>
      <c r="B528" s="118">
        <v>40</v>
      </c>
      <c r="C528" s="118" t="s">
        <v>1085</v>
      </c>
      <c r="D528" s="118" t="s">
        <v>977</v>
      </c>
    </row>
    <row r="529" spans="1:4" x14ac:dyDescent="0.45">
      <c r="A529" s="167" t="s">
        <v>928</v>
      </c>
      <c r="B529" s="118">
        <v>150</v>
      </c>
      <c r="C529" s="118" t="s">
        <v>990</v>
      </c>
      <c r="D529" s="118" t="s">
        <v>609</v>
      </c>
    </row>
    <row r="530" spans="1:4" x14ac:dyDescent="0.45">
      <c r="A530" s="167" t="s">
        <v>928</v>
      </c>
      <c r="B530" s="118">
        <v>275</v>
      </c>
      <c r="C530" s="118" t="s">
        <v>1208</v>
      </c>
      <c r="D530" s="118" t="s">
        <v>580</v>
      </c>
    </row>
    <row r="531" spans="1:4" x14ac:dyDescent="0.45">
      <c r="A531" s="167" t="s">
        <v>928</v>
      </c>
      <c r="B531" s="118">
        <v>25</v>
      </c>
      <c r="C531" s="118" t="s">
        <v>811</v>
      </c>
      <c r="D531" s="118" t="s">
        <v>969</v>
      </c>
    </row>
    <row r="532" spans="1:4" x14ac:dyDescent="0.45">
      <c r="A532" s="167" t="s">
        <v>930</v>
      </c>
      <c r="B532" s="118">
        <v>160</v>
      </c>
      <c r="C532" s="118" t="s">
        <v>1209</v>
      </c>
      <c r="D532" s="118" t="s">
        <v>580</v>
      </c>
    </row>
    <row r="533" spans="1:4" x14ac:dyDescent="0.45">
      <c r="A533" s="167" t="s">
        <v>930</v>
      </c>
      <c r="B533" s="118">
        <v>16</v>
      </c>
      <c r="C533" s="118" t="s">
        <v>579</v>
      </c>
      <c r="D533" s="118" t="s">
        <v>580</v>
      </c>
    </row>
    <row r="534" spans="1:4" x14ac:dyDescent="0.45">
      <c r="A534" s="167" t="s">
        <v>931</v>
      </c>
    </row>
    <row r="535" spans="1:4" x14ac:dyDescent="0.45">
      <c r="A535" s="167" t="s">
        <v>491</v>
      </c>
      <c r="B535" s="118">
        <f>225+475+150+18</f>
        <v>868</v>
      </c>
      <c r="C535" s="118" t="s">
        <v>1210</v>
      </c>
      <c r="D535" s="118" t="s">
        <v>580</v>
      </c>
    </row>
    <row r="536" spans="1:4" x14ac:dyDescent="0.45">
      <c r="A536" s="167" t="s">
        <v>491</v>
      </c>
      <c r="B536" s="118">
        <v>80</v>
      </c>
      <c r="C536" s="118" t="s">
        <v>1211</v>
      </c>
      <c r="D536" s="118" t="s">
        <v>580</v>
      </c>
    </row>
    <row r="537" spans="1:4" x14ac:dyDescent="0.45">
      <c r="A537" s="167" t="s">
        <v>491</v>
      </c>
      <c r="B537" s="118">
        <v>80</v>
      </c>
      <c r="C537" s="118" t="s">
        <v>1085</v>
      </c>
      <c r="D537" s="118" t="s">
        <v>582</v>
      </c>
    </row>
    <row r="538" spans="1:4" x14ac:dyDescent="0.45">
      <c r="A538" s="167" t="s">
        <v>491</v>
      </c>
      <c r="B538" s="118">
        <v>55</v>
      </c>
      <c r="C538" s="118" t="s">
        <v>1138</v>
      </c>
      <c r="D538" s="118" t="s">
        <v>582</v>
      </c>
    </row>
    <row r="539" spans="1:4" x14ac:dyDescent="0.45">
      <c r="A539" s="167" t="s">
        <v>934</v>
      </c>
      <c r="B539" s="118">
        <v>20</v>
      </c>
      <c r="C539" s="118" t="s">
        <v>1088</v>
      </c>
      <c r="D539" s="118" t="s">
        <v>977</v>
      </c>
    </row>
    <row r="540" spans="1:4" x14ac:dyDescent="0.45">
      <c r="A540" s="167" t="s">
        <v>934</v>
      </c>
      <c r="B540" s="118">
        <v>60</v>
      </c>
      <c r="C540" s="118" t="s">
        <v>1139</v>
      </c>
      <c r="D540" s="118" t="s">
        <v>595</v>
      </c>
    </row>
    <row r="541" spans="1:4" x14ac:dyDescent="0.45">
      <c r="A541" s="167" t="s">
        <v>934</v>
      </c>
      <c r="B541" s="118">
        <v>50</v>
      </c>
      <c r="C541" s="118" t="s">
        <v>937</v>
      </c>
      <c r="D541" s="118" t="s">
        <v>587</v>
      </c>
    </row>
    <row r="542" spans="1:4" x14ac:dyDescent="0.45">
      <c r="A542" s="167" t="s">
        <v>934</v>
      </c>
      <c r="B542" s="118">
        <v>60</v>
      </c>
      <c r="C542" s="118" t="s">
        <v>1212</v>
      </c>
      <c r="D542" s="118" t="s">
        <v>967</v>
      </c>
    </row>
    <row r="543" spans="1:4" x14ac:dyDescent="0.45">
      <c r="A543" s="167" t="s">
        <v>497</v>
      </c>
      <c r="B543" s="118">
        <v>40</v>
      </c>
      <c r="C543" s="118" t="s">
        <v>1092</v>
      </c>
      <c r="D543" s="118" t="s">
        <v>974</v>
      </c>
    </row>
    <row r="544" spans="1:4" x14ac:dyDescent="0.45">
      <c r="A544" s="167" t="s">
        <v>497</v>
      </c>
      <c r="B544" s="118">
        <v>60</v>
      </c>
      <c r="C544" s="118" t="s">
        <v>1085</v>
      </c>
      <c r="D544" s="118" t="s">
        <v>977</v>
      </c>
    </row>
    <row r="545" spans="1:4" x14ac:dyDescent="0.45">
      <c r="A545" s="167" t="s">
        <v>497</v>
      </c>
      <c r="B545" s="118">
        <v>20</v>
      </c>
      <c r="C545" s="118" t="s">
        <v>1081</v>
      </c>
      <c r="D545" s="118" t="s">
        <v>967</v>
      </c>
    </row>
    <row r="546" spans="1:4" x14ac:dyDescent="0.45">
      <c r="A546" s="167" t="s">
        <v>938</v>
      </c>
      <c r="B546" s="118">
        <v>60</v>
      </c>
      <c r="C546" s="118" t="s">
        <v>1213</v>
      </c>
      <c r="D546" s="118" t="s">
        <v>580</v>
      </c>
    </row>
    <row r="547" spans="1:4" x14ac:dyDescent="0.45">
      <c r="A547" s="167" t="s">
        <v>938</v>
      </c>
      <c r="B547" s="118">
        <v>25</v>
      </c>
      <c r="C547" s="118" t="s">
        <v>676</v>
      </c>
      <c r="D547" s="118" t="s">
        <v>580</v>
      </c>
    </row>
    <row r="548" spans="1:4" x14ac:dyDescent="0.45">
      <c r="A548" s="167" t="s">
        <v>938</v>
      </c>
      <c r="B548" s="118">
        <v>20</v>
      </c>
      <c r="C548" s="118" t="s">
        <v>1093</v>
      </c>
      <c r="D548" s="118" t="s">
        <v>582</v>
      </c>
    </row>
    <row r="549" spans="1:4" x14ac:dyDescent="0.45">
      <c r="A549" s="167" t="s">
        <v>938</v>
      </c>
      <c r="B549" s="118">
        <v>75</v>
      </c>
      <c r="C549" s="118" t="s">
        <v>939</v>
      </c>
      <c r="D549" s="118" t="s">
        <v>787</v>
      </c>
    </row>
    <row r="550" spans="1:4" x14ac:dyDescent="0.45">
      <c r="A550" s="167" t="s">
        <v>938</v>
      </c>
      <c r="B550" s="118">
        <v>20</v>
      </c>
      <c r="C550" s="118" t="s">
        <v>1094</v>
      </c>
      <c r="D550" s="118" t="s">
        <v>787</v>
      </c>
    </row>
    <row r="551" spans="1:4" x14ac:dyDescent="0.45">
      <c r="A551" s="167" t="s">
        <v>938</v>
      </c>
      <c r="B551" s="118">
        <v>60</v>
      </c>
      <c r="C551" s="118" t="s">
        <v>940</v>
      </c>
      <c r="D551" s="118" t="s">
        <v>778</v>
      </c>
    </row>
    <row r="552" spans="1:4" x14ac:dyDescent="0.45">
      <c r="A552" s="167" t="s">
        <v>941</v>
      </c>
      <c r="B552" s="118">
        <v>100</v>
      </c>
      <c r="C552" s="118" t="s">
        <v>1085</v>
      </c>
      <c r="D552" s="118" t="s">
        <v>582</v>
      </c>
    </row>
    <row r="553" spans="1:4" x14ac:dyDescent="0.45">
      <c r="A553" s="167" t="s">
        <v>941</v>
      </c>
      <c r="B553" s="118">
        <v>40</v>
      </c>
      <c r="C553" s="118" t="s">
        <v>1081</v>
      </c>
      <c r="D553" s="118" t="s">
        <v>580</v>
      </c>
    </row>
    <row r="554" spans="1:4" x14ac:dyDescent="0.45">
      <c r="A554" s="167" t="s">
        <v>944</v>
      </c>
      <c r="B554" s="118">
        <f>50+75+30</f>
        <v>155</v>
      </c>
      <c r="C554" s="118" t="s">
        <v>1214</v>
      </c>
      <c r="D554" s="118" t="s">
        <v>580</v>
      </c>
    </row>
    <row r="555" spans="1:4" x14ac:dyDescent="0.45">
      <c r="A555" s="167" t="s">
        <v>942</v>
      </c>
      <c r="B555" s="118">
        <v>40</v>
      </c>
      <c r="C555" s="118" t="s">
        <v>1092</v>
      </c>
      <c r="D555" s="118" t="s">
        <v>974</v>
      </c>
    </row>
    <row r="556" spans="1:4" x14ac:dyDescent="0.45">
      <c r="A556" s="167" t="s">
        <v>943</v>
      </c>
      <c r="B556" s="118">
        <v>60</v>
      </c>
      <c r="C556" s="118" t="s">
        <v>1082</v>
      </c>
      <c r="D556" s="118" t="s">
        <v>974</v>
      </c>
    </row>
    <row r="557" spans="1:4" x14ac:dyDescent="0.45">
      <c r="A557" s="167" t="s">
        <v>943</v>
      </c>
      <c r="B557" s="118">
        <v>40</v>
      </c>
      <c r="C557" s="118" t="s">
        <v>1095</v>
      </c>
      <c r="D557" s="118" t="s">
        <v>967</v>
      </c>
    </row>
    <row r="558" spans="1:4" x14ac:dyDescent="0.45">
      <c r="A558" s="167" t="s">
        <v>945</v>
      </c>
      <c r="B558" s="118">
        <v>80</v>
      </c>
      <c r="C558" s="118" t="s">
        <v>1211</v>
      </c>
      <c r="D558" s="118" t="s">
        <v>580</v>
      </c>
    </row>
    <row r="559" spans="1:4" x14ac:dyDescent="0.45">
      <c r="A559" s="167" t="s">
        <v>945</v>
      </c>
      <c r="B559" s="118">
        <v>50</v>
      </c>
      <c r="C559" s="118" t="s">
        <v>584</v>
      </c>
      <c r="D559" s="118" t="s">
        <v>580</v>
      </c>
    </row>
    <row r="560" spans="1:4" x14ac:dyDescent="0.45">
      <c r="A560" s="167" t="s">
        <v>945</v>
      </c>
      <c r="B560" s="118">
        <v>30</v>
      </c>
      <c r="C560" s="118" t="s">
        <v>593</v>
      </c>
      <c r="D560" s="118" t="s">
        <v>595</v>
      </c>
    </row>
    <row r="561" spans="1:4" x14ac:dyDescent="0.45">
      <c r="A561" s="167" t="s">
        <v>945</v>
      </c>
      <c r="B561" s="118">
        <v>25</v>
      </c>
      <c r="C561" s="118" t="s">
        <v>1096</v>
      </c>
      <c r="D561" s="118" t="s">
        <v>595</v>
      </c>
    </row>
    <row r="562" spans="1:4" x14ac:dyDescent="0.45">
      <c r="A562" s="167" t="s">
        <v>946</v>
      </c>
      <c r="B562" s="118">
        <v>40</v>
      </c>
      <c r="C562" s="118" t="s">
        <v>1092</v>
      </c>
      <c r="D562" s="118" t="s">
        <v>974</v>
      </c>
    </row>
    <row r="563" spans="1:4" x14ac:dyDescent="0.45">
      <c r="A563" s="167" t="s">
        <v>946</v>
      </c>
      <c r="B563" s="118">
        <v>300</v>
      </c>
      <c r="C563" s="118" t="s">
        <v>584</v>
      </c>
      <c r="D563" s="118" t="s">
        <v>587</v>
      </c>
    </row>
    <row r="564" spans="1:4" x14ac:dyDescent="0.45">
      <c r="A564" s="167" t="s">
        <v>946</v>
      </c>
      <c r="B564" s="118">
        <v>80</v>
      </c>
      <c r="C564" s="118" t="s">
        <v>1097</v>
      </c>
      <c r="D564" s="118" t="s">
        <v>977</v>
      </c>
    </row>
    <row r="565" spans="1:4" x14ac:dyDescent="0.45">
      <c r="A565" s="167" t="s">
        <v>946</v>
      </c>
      <c r="B565" s="118">
        <f>285+60</f>
        <v>345</v>
      </c>
      <c r="C565" s="118" t="s">
        <v>1215</v>
      </c>
      <c r="D565" s="118" t="s">
        <v>595</v>
      </c>
    </row>
    <row r="566" spans="1:4" x14ac:dyDescent="0.45">
      <c r="A566" s="167" t="s">
        <v>946</v>
      </c>
      <c r="B566" s="118">
        <v>30</v>
      </c>
      <c r="C566" s="118" t="s">
        <v>950</v>
      </c>
      <c r="D566" s="118" t="s">
        <v>785</v>
      </c>
    </row>
    <row r="567" spans="1:4" x14ac:dyDescent="0.45">
      <c r="A567" s="167" t="s">
        <v>946</v>
      </c>
      <c r="B567" s="118">
        <v>40</v>
      </c>
      <c r="C567" s="118" t="s">
        <v>1098</v>
      </c>
      <c r="D567" s="118" t="s">
        <v>975</v>
      </c>
    </row>
    <row r="568" spans="1:4" x14ac:dyDescent="0.45">
      <c r="A568" s="167" t="s">
        <v>951</v>
      </c>
      <c r="B568" s="118">
        <v>20</v>
      </c>
      <c r="C568" s="118" t="s">
        <v>1085</v>
      </c>
      <c r="D568" s="118" t="s">
        <v>968</v>
      </c>
    </row>
    <row r="569" spans="1:4" x14ac:dyDescent="0.45">
      <c r="A569" s="167" t="s">
        <v>951</v>
      </c>
      <c r="B569" s="118">
        <v>20</v>
      </c>
      <c r="C569" s="118" t="s">
        <v>1082</v>
      </c>
      <c r="D569" s="118" t="s">
        <v>580</v>
      </c>
    </row>
    <row r="570" spans="1:4" x14ac:dyDescent="0.45">
      <c r="A570" s="167" t="s">
        <v>951</v>
      </c>
      <c r="B570" s="118">
        <v>75</v>
      </c>
      <c r="C570" s="118" t="s">
        <v>584</v>
      </c>
      <c r="D570" s="118" t="s">
        <v>580</v>
      </c>
    </row>
    <row r="571" spans="1:4" x14ac:dyDescent="0.45">
      <c r="A571" s="167" t="s">
        <v>951</v>
      </c>
      <c r="B571" s="118">
        <v>105</v>
      </c>
      <c r="C571" s="118" t="s">
        <v>1216</v>
      </c>
      <c r="D571" s="167" t="s">
        <v>595</v>
      </c>
    </row>
    <row r="572" spans="1:4" x14ac:dyDescent="0.45">
      <c r="A572" s="167" t="s">
        <v>953</v>
      </c>
      <c r="B572" s="118">
        <v>75</v>
      </c>
      <c r="C572" s="118" t="s">
        <v>952</v>
      </c>
      <c r="D572" s="118" t="s">
        <v>580</v>
      </c>
    </row>
    <row r="573" spans="1:4" x14ac:dyDescent="0.45">
      <c r="A573" s="167" t="s">
        <v>953</v>
      </c>
      <c r="B573" s="118">
        <v>20</v>
      </c>
      <c r="C573" s="118" t="s">
        <v>1099</v>
      </c>
      <c r="D573" s="118" t="s">
        <v>582</v>
      </c>
    </row>
    <row r="574" spans="1:4" x14ac:dyDescent="0.45">
      <c r="A574" s="167" t="s">
        <v>953</v>
      </c>
      <c r="B574" s="118">
        <v>40</v>
      </c>
      <c r="C574" s="118" t="s">
        <v>1100</v>
      </c>
      <c r="D574" s="118" t="s">
        <v>580</v>
      </c>
    </row>
    <row r="575" spans="1:4" x14ac:dyDescent="0.45">
      <c r="A575" s="167" t="s">
        <v>954</v>
      </c>
      <c r="B575" s="118">
        <v>40</v>
      </c>
      <c r="C575" s="118" t="s">
        <v>1085</v>
      </c>
      <c r="D575" s="118" t="s">
        <v>977</v>
      </c>
    </row>
    <row r="576" spans="1:4" x14ac:dyDescent="0.45">
      <c r="A576" s="167" t="s">
        <v>954</v>
      </c>
      <c r="B576" s="118">
        <v>60</v>
      </c>
      <c r="C576" s="118" t="s">
        <v>1092</v>
      </c>
      <c r="D576" s="118" t="s">
        <v>974</v>
      </c>
    </row>
    <row r="577" spans="1:4" x14ac:dyDescent="0.45">
      <c r="A577" s="167" t="s">
        <v>954</v>
      </c>
      <c r="B577" s="118">
        <v>30</v>
      </c>
      <c r="C577" s="118" t="s">
        <v>593</v>
      </c>
      <c r="D577" s="118" t="s">
        <v>595</v>
      </c>
    </row>
    <row r="578" spans="1:4" x14ac:dyDescent="0.45">
      <c r="A578" s="167" t="s">
        <v>954</v>
      </c>
      <c r="B578" s="118">
        <v>75</v>
      </c>
      <c r="C578" s="118" t="s">
        <v>584</v>
      </c>
      <c r="D578" s="118" t="s">
        <v>587</v>
      </c>
    </row>
    <row r="579" spans="1:4" x14ac:dyDescent="0.45">
      <c r="A579" s="167" t="s">
        <v>954</v>
      </c>
      <c r="B579" s="118">
        <v>50</v>
      </c>
      <c r="C579" s="118" t="s">
        <v>583</v>
      </c>
      <c r="D579" s="118" t="s">
        <v>586</v>
      </c>
    </row>
    <row r="580" spans="1:4" x14ac:dyDescent="0.45">
      <c r="A580" s="167" t="s">
        <v>954</v>
      </c>
      <c r="B580" s="118">
        <v>20</v>
      </c>
      <c r="C580" s="118" t="s">
        <v>1081</v>
      </c>
      <c r="D580" s="118" t="s">
        <v>967</v>
      </c>
    </row>
    <row r="581" spans="1:4" x14ac:dyDescent="0.45">
      <c r="A581" s="167" t="s">
        <v>954</v>
      </c>
      <c r="B581" s="118">
        <v>50</v>
      </c>
      <c r="C581" s="118" t="s">
        <v>955</v>
      </c>
      <c r="D581" s="118" t="s">
        <v>973</v>
      </c>
    </row>
    <row r="582" spans="1:4" x14ac:dyDescent="0.45">
      <c r="A582" s="167" t="s">
        <v>954</v>
      </c>
      <c r="B582" s="118">
        <v>20</v>
      </c>
      <c r="C582" s="118" t="s">
        <v>1101</v>
      </c>
      <c r="D582" s="118" t="s">
        <v>976</v>
      </c>
    </row>
    <row r="584" spans="1:4" x14ac:dyDescent="0.45">
      <c r="A584" s="118" t="s">
        <v>982</v>
      </c>
      <c r="B584" s="118">
        <f>SUM(B2:B582)</f>
        <v>142824</v>
      </c>
      <c r="C584" s="118" t="s">
        <v>1118</v>
      </c>
    </row>
    <row r="585" spans="1:4" x14ac:dyDescent="0.45">
      <c r="A585" s="118" t="s">
        <v>570</v>
      </c>
      <c r="B585" s="118">
        <v>20028</v>
      </c>
      <c r="C585" s="118" t="s">
        <v>1119</v>
      </c>
    </row>
    <row r="586" spans="1:4" x14ac:dyDescent="0.45">
      <c r="A586" s="118" t="s">
        <v>574</v>
      </c>
      <c r="B586" s="118">
        <f>B584-B585</f>
        <v>122796</v>
      </c>
      <c r="C586" s="118" t="s">
        <v>1120</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222F5-D661-4011-9858-D3F75F2AD328}">
  <dimension ref="A1:R30"/>
  <sheetViews>
    <sheetView zoomScale="70" zoomScaleNormal="70" workbookViewId="0">
      <selection activeCell="D27" sqref="D27"/>
    </sheetView>
  </sheetViews>
  <sheetFormatPr defaultRowHeight="26.25" x14ac:dyDescent="0.4"/>
  <cols>
    <col min="1" max="1" width="94.28515625" style="1" bestFit="1" customWidth="1"/>
    <col min="2" max="2" width="14.42578125" style="1" bestFit="1" customWidth="1"/>
    <col min="3" max="3" width="21.140625" style="1" bestFit="1" customWidth="1"/>
    <col min="4" max="4" width="62.7109375" style="1" bestFit="1" customWidth="1"/>
    <col min="5" max="5" width="94.28515625" style="1" customWidth="1"/>
    <col min="6" max="6" width="14.5703125" style="1" bestFit="1" customWidth="1"/>
    <col min="7" max="7" width="45.5703125" style="1" customWidth="1"/>
    <col min="8" max="8" width="43.5703125" style="1" bestFit="1" customWidth="1"/>
    <col min="9" max="9" width="86.85546875" style="1" bestFit="1" customWidth="1"/>
    <col min="10" max="10" width="14.5703125" style="1" bestFit="1" customWidth="1"/>
    <col min="11" max="11" width="21.5703125" style="1" bestFit="1" customWidth="1"/>
    <col min="12" max="12" width="62.7109375" style="1" bestFit="1" customWidth="1"/>
    <col min="13" max="13" width="11.5703125" style="1" bestFit="1" customWidth="1"/>
    <col min="14" max="16384" width="9.140625" style="1"/>
  </cols>
  <sheetData>
    <row r="1" spans="1:18" ht="27" thickBot="1" x14ac:dyDescent="0.45">
      <c r="A1" s="119" t="str">
        <f>"Dragon Kingdom (total " &amp; F23 &amp; ")"</f>
        <v>Dragon Kingdom (total 22722)</v>
      </c>
      <c r="B1" s="120"/>
      <c r="C1" s="120"/>
      <c r="D1" s="120"/>
      <c r="E1" s="120"/>
      <c r="F1" s="120"/>
      <c r="G1" s="120"/>
      <c r="H1" s="120"/>
      <c r="I1" s="120"/>
      <c r="J1" s="120"/>
      <c r="K1" s="120"/>
      <c r="L1" s="121"/>
      <c r="N1" s="2"/>
      <c r="P1" s="2"/>
      <c r="R1" s="2"/>
    </row>
    <row r="2" spans="1:18" ht="27" thickBot="1" x14ac:dyDescent="0.45">
      <c r="A2" s="122" t="s">
        <v>375</v>
      </c>
      <c r="B2" s="123"/>
      <c r="C2" s="123"/>
      <c r="D2" s="124"/>
      <c r="E2" s="125" t="s">
        <v>392</v>
      </c>
      <c r="F2" s="126"/>
      <c r="G2" s="126"/>
      <c r="H2" s="127"/>
      <c r="I2" s="128" t="s">
        <v>376</v>
      </c>
      <c r="J2" s="129"/>
      <c r="K2" s="129"/>
      <c r="L2" s="130"/>
    </row>
    <row r="3" spans="1:18" ht="27" thickBot="1" x14ac:dyDescent="0.45">
      <c r="A3" s="7" t="s">
        <v>0</v>
      </c>
      <c r="B3" s="8" t="s">
        <v>1</v>
      </c>
      <c r="C3" s="8" t="s">
        <v>19</v>
      </c>
      <c r="D3" s="9" t="s">
        <v>20</v>
      </c>
      <c r="E3" s="44" t="s">
        <v>0</v>
      </c>
      <c r="F3" s="28" t="s">
        <v>1</v>
      </c>
      <c r="G3" s="28" t="s">
        <v>19</v>
      </c>
      <c r="H3" s="29" t="s">
        <v>20</v>
      </c>
      <c r="I3" s="33" t="s">
        <v>0</v>
      </c>
      <c r="J3" s="34" t="s">
        <v>1</v>
      </c>
      <c r="K3" s="34" t="s">
        <v>19</v>
      </c>
      <c r="L3" s="35" t="s">
        <v>20</v>
      </c>
    </row>
    <row r="4" spans="1:18" x14ac:dyDescent="0.4">
      <c r="A4" s="131" t="s">
        <v>435</v>
      </c>
      <c r="B4" s="132"/>
      <c r="C4" s="132"/>
      <c r="D4" s="133"/>
      <c r="E4" s="134" t="s">
        <v>433</v>
      </c>
      <c r="F4" s="135"/>
      <c r="G4" s="135"/>
      <c r="H4" s="136"/>
      <c r="I4" s="137" t="s">
        <v>439</v>
      </c>
      <c r="J4" s="138"/>
      <c r="K4" s="138"/>
      <c r="L4" s="139"/>
    </row>
    <row r="5" spans="1:18" x14ac:dyDescent="0.4">
      <c r="A5" s="10" t="s">
        <v>377</v>
      </c>
      <c r="B5" s="11">
        <v>150</v>
      </c>
      <c r="C5" s="11" t="s">
        <v>2</v>
      </c>
      <c r="D5" s="12" t="s">
        <v>32</v>
      </c>
      <c r="E5" s="16" t="s">
        <v>507</v>
      </c>
      <c r="F5" s="17">
        <v>100</v>
      </c>
      <c r="G5" s="17" t="s">
        <v>2</v>
      </c>
      <c r="H5" s="18" t="s">
        <v>32</v>
      </c>
      <c r="I5" s="22" t="s">
        <v>509</v>
      </c>
      <c r="J5" s="23">
        <f>250+899</f>
        <v>1149</v>
      </c>
      <c r="K5" s="23" t="s">
        <v>2</v>
      </c>
      <c r="L5" s="24" t="s">
        <v>32</v>
      </c>
    </row>
    <row r="6" spans="1:18" x14ac:dyDescent="0.4">
      <c r="A6" s="10" t="s">
        <v>29</v>
      </c>
      <c r="B6" s="11">
        <v>300</v>
      </c>
      <c r="C6" s="11" t="s">
        <v>2</v>
      </c>
      <c r="D6" s="111" t="s">
        <v>30</v>
      </c>
      <c r="E6" s="16" t="s">
        <v>67</v>
      </c>
      <c r="F6" s="17">
        <v>2550</v>
      </c>
      <c r="G6" s="17" t="s">
        <v>2</v>
      </c>
      <c r="H6" s="18" t="s">
        <v>501</v>
      </c>
      <c r="I6" s="22" t="s">
        <v>76</v>
      </c>
      <c r="J6" s="23">
        <v>75</v>
      </c>
      <c r="K6" s="23" t="s">
        <v>2</v>
      </c>
      <c r="L6" s="24" t="s">
        <v>557</v>
      </c>
    </row>
    <row r="7" spans="1:18" x14ac:dyDescent="0.4">
      <c r="A7" s="10" t="s">
        <v>27</v>
      </c>
      <c r="B7" s="11">
        <v>100</v>
      </c>
      <c r="C7" s="11" t="s">
        <v>2</v>
      </c>
      <c r="D7" s="111" t="s">
        <v>28</v>
      </c>
      <c r="E7" s="16" t="s">
        <v>395</v>
      </c>
      <c r="F7" s="17">
        <f>70+175</f>
        <v>245</v>
      </c>
      <c r="G7" s="17" t="s">
        <v>2</v>
      </c>
      <c r="H7" s="18" t="s">
        <v>49</v>
      </c>
      <c r="I7" s="22" t="s">
        <v>85</v>
      </c>
      <c r="J7" s="23">
        <v>100</v>
      </c>
      <c r="K7" s="23" t="s">
        <v>2</v>
      </c>
      <c r="L7" s="24" t="s">
        <v>552</v>
      </c>
    </row>
    <row r="8" spans="1:18" x14ac:dyDescent="0.4">
      <c r="A8" s="10" t="s">
        <v>25</v>
      </c>
      <c r="B8" s="11">
        <v>175</v>
      </c>
      <c r="C8" s="11" t="s">
        <v>2</v>
      </c>
      <c r="D8" s="111" t="s">
        <v>556</v>
      </c>
      <c r="E8" s="16" t="s">
        <v>70</v>
      </c>
      <c r="F8" s="17">
        <v>500</v>
      </c>
      <c r="G8" s="17" t="s">
        <v>2</v>
      </c>
      <c r="H8" s="18" t="s">
        <v>18</v>
      </c>
      <c r="I8" s="22" t="s">
        <v>88</v>
      </c>
      <c r="J8" s="23">
        <v>55</v>
      </c>
      <c r="K8" s="23" t="s">
        <v>2</v>
      </c>
      <c r="L8" s="24" t="s">
        <v>553</v>
      </c>
    </row>
    <row r="9" spans="1:18" ht="27" thickBot="1" x14ac:dyDescent="0.45">
      <c r="A9" s="13" t="s">
        <v>24</v>
      </c>
      <c r="B9" s="14">
        <v>336</v>
      </c>
      <c r="C9" s="14" t="s">
        <v>2</v>
      </c>
      <c r="D9" s="112" t="s">
        <v>2</v>
      </c>
      <c r="E9" s="16" t="s">
        <v>80</v>
      </c>
      <c r="F9" s="17">
        <v>161</v>
      </c>
      <c r="G9" s="17" t="s">
        <v>2</v>
      </c>
      <c r="H9" s="18" t="s">
        <v>553</v>
      </c>
      <c r="I9" s="22" t="s">
        <v>78</v>
      </c>
      <c r="J9" s="23">
        <v>395</v>
      </c>
      <c r="K9" s="23" t="s">
        <v>2</v>
      </c>
      <c r="L9" s="24" t="s">
        <v>554</v>
      </c>
    </row>
    <row r="10" spans="1:18" x14ac:dyDescent="0.4">
      <c r="A10" s="10" t="s">
        <v>388</v>
      </c>
      <c r="B10" s="11"/>
      <c r="C10" s="11">
        <f>SUM(B5:B9)</f>
        <v>1061</v>
      </c>
      <c r="D10" s="12"/>
      <c r="E10" s="16" t="s">
        <v>44</v>
      </c>
      <c r="F10" s="17">
        <f>345+25</f>
        <v>370</v>
      </c>
      <c r="G10" s="17" t="s">
        <v>2</v>
      </c>
      <c r="H10" s="18" t="s">
        <v>554</v>
      </c>
      <c r="I10" s="22" t="s">
        <v>560</v>
      </c>
      <c r="J10" s="23">
        <f>5379-1523</f>
        <v>3856</v>
      </c>
      <c r="K10" s="23" t="s">
        <v>2</v>
      </c>
      <c r="L10" s="116" t="s">
        <v>2</v>
      </c>
    </row>
    <row r="11" spans="1:18" x14ac:dyDescent="0.4">
      <c r="A11" s="140" t="s">
        <v>436</v>
      </c>
      <c r="B11" s="141"/>
      <c r="C11" s="141"/>
      <c r="D11" s="142"/>
      <c r="E11" s="16" t="s">
        <v>65</v>
      </c>
      <c r="F11" s="17">
        <v>1000</v>
      </c>
      <c r="G11" s="17" t="s">
        <v>2</v>
      </c>
      <c r="H11" s="115" t="s">
        <v>66</v>
      </c>
      <c r="I11" s="22" t="s">
        <v>363</v>
      </c>
      <c r="J11" s="23">
        <v>1523</v>
      </c>
      <c r="K11" s="23" t="s">
        <v>2</v>
      </c>
      <c r="L11" s="116" t="s">
        <v>2</v>
      </c>
    </row>
    <row r="12" spans="1:18" ht="27" thickBot="1" x14ac:dyDescent="0.45">
      <c r="A12" s="10" t="s">
        <v>378</v>
      </c>
      <c r="B12" s="11">
        <v>500</v>
      </c>
      <c r="C12" s="11" t="s">
        <v>6</v>
      </c>
      <c r="D12" s="12" t="s">
        <v>18</v>
      </c>
      <c r="E12" s="16" t="s">
        <v>360</v>
      </c>
      <c r="F12" s="17">
        <v>1806</v>
      </c>
      <c r="G12" s="17" t="s">
        <v>2</v>
      </c>
      <c r="H12" s="113" t="s">
        <v>2</v>
      </c>
      <c r="I12" s="25" t="s">
        <v>90</v>
      </c>
      <c r="J12" s="26">
        <v>100</v>
      </c>
      <c r="K12" s="26" t="s">
        <v>89</v>
      </c>
      <c r="L12" s="27" t="s">
        <v>32</v>
      </c>
    </row>
    <row r="13" spans="1:18" ht="27" thickBot="1" x14ac:dyDescent="0.45">
      <c r="A13" s="10" t="s">
        <v>389</v>
      </c>
      <c r="B13" s="11">
        <v>20</v>
      </c>
      <c r="C13" s="11" t="s">
        <v>6</v>
      </c>
      <c r="D13" s="12" t="s">
        <v>552</v>
      </c>
      <c r="E13" s="19" t="s">
        <v>265</v>
      </c>
      <c r="F13" s="20">
        <f>2759-1806</f>
        <v>953</v>
      </c>
      <c r="G13" s="20" t="s">
        <v>2</v>
      </c>
      <c r="H13" s="114" t="s">
        <v>2</v>
      </c>
      <c r="I13" s="22" t="s">
        <v>388</v>
      </c>
      <c r="J13" s="23"/>
      <c r="K13" s="23">
        <f>SUM(J5:J12)</f>
        <v>7253</v>
      </c>
      <c r="L13" s="24"/>
    </row>
    <row r="14" spans="1:18" x14ac:dyDescent="0.4">
      <c r="A14" s="10" t="s">
        <v>383</v>
      </c>
      <c r="B14" s="11">
        <v>20</v>
      </c>
      <c r="C14" s="11" t="s">
        <v>6</v>
      </c>
      <c r="D14" s="12" t="s">
        <v>553</v>
      </c>
      <c r="E14" s="16" t="s">
        <v>388</v>
      </c>
      <c r="F14" s="17"/>
      <c r="G14" s="17">
        <f>SUM(F5:F13)</f>
        <v>7685</v>
      </c>
      <c r="H14" s="18"/>
      <c r="I14" s="137" t="s">
        <v>440</v>
      </c>
      <c r="J14" s="138"/>
      <c r="K14" s="138"/>
      <c r="L14" s="139"/>
    </row>
    <row r="15" spans="1:18" x14ac:dyDescent="0.4">
      <c r="A15" s="10" t="s">
        <v>563</v>
      </c>
      <c r="B15" s="11">
        <v>755</v>
      </c>
      <c r="C15" s="11" t="s">
        <v>6</v>
      </c>
      <c r="D15" s="111" t="s">
        <v>2</v>
      </c>
      <c r="E15" s="134" t="s">
        <v>434</v>
      </c>
      <c r="F15" s="135"/>
      <c r="G15" s="135"/>
      <c r="H15" s="136"/>
      <c r="I15" s="22" t="s">
        <v>85</v>
      </c>
      <c r="J15" s="23">
        <v>40</v>
      </c>
      <c r="K15" s="23" t="s">
        <v>82</v>
      </c>
      <c r="L15" s="24" t="s">
        <v>552</v>
      </c>
    </row>
    <row r="16" spans="1:18" ht="27" thickBot="1" x14ac:dyDescent="0.45">
      <c r="A16" s="13" t="s">
        <v>265</v>
      </c>
      <c r="B16" s="14">
        <v>897</v>
      </c>
      <c r="C16" s="14" t="s">
        <v>6</v>
      </c>
      <c r="D16" s="112" t="s">
        <v>2</v>
      </c>
      <c r="E16" s="16" t="s">
        <v>399</v>
      </c>
      <c r="F16" s="17">
        <v>500</v>
      </c>
      <c r="G16" s="17" t="s">
        <v>54</v>
      </c>
      <c r="H16" s="18" t="s">
        <v>18</v>
      </c>
      <c r="I16" s="22" t="s">
        <v>84</v>
      </c>
      <c r="J16" s="23">
        <v>60</v>
      </c>
      <c r="K16" s="23" t="s">
        <v>82</v>
      </c>
      <c r="L16" s="24" t="s">
        <v>553</v>
      </c>
    </row>
    <row r="17" spans="1:12" x14ac:dyDescent="0.4">
      <c r="A17" s="10" t="s">
        <v>388</v>
      </c>
      <c r="B17" s="11"/>
      <c r="C17" s="11">
        <f>SUM(B12:B16)</f>
        <v>2192</v>
      </c>
      <c r="D17" s="12">
        <f>C10+C17</f>
        <v>3253</v>
      </c>
      <c r="E17" s="16" t="s">
        <v>50</v>
      </c>
      <c r="F17" s="17">
        <v>100</v>
      </c>
      <c r="G17" s="17" t="s">
        <v>54</v>
      </c>
      <c r="H17" s="18" t="s">
        <v>554</v>
      </c>
      <c r="I17" s="22" t="s">
        <v>86</v>
      </c>
      <c r="J17" s="23">
        <v>75</v>
      </c>
      <c r="K17" s="23" t="s">
        <v>82</v>
      </c>
      <c r="L17" s="24" t="s">
        <v>554</v>
      </c>
    </row>
    <row r="18" spans="1:12" ht="27" thickBot="1" x14ac:dyDescent="0.45">
      <c r="A18" s="140" t="s">
        <v>437</v>
      </c>
      <c r="B18" s="141"/>
      <c r="C18" s="141"/>
      <c r="D18" s="142"/>
      <c r="E18" s="16" t="s">
        <v>265</v>
      </c>
      <c r="F18" s="17">
        <v>260</v>
      </c>
      <c r="G18" s="17" t="s">
        <v>54</v>
      </c>
      <c r="H18" s="18" t="s">
        <v>2</v>
      </c>
      <c r="I18" s="25" t="s">
        <v>265</v>
      </c>
      <c r="J18" s="26">
        <f>187+289</f>
        <v>476</v>
      </c>
      <c r="K18" s="26" t="s">
        <v>82</v>
      </c>
      <c r="L18" s="117" t="s">
        <v>2</v>
      </c>
    </row>
    <row r="19" spans="1:12" ht="27" thickBot="1" x14ac:dyDescent="0.45">
      <c r="A19" s="10" t="s">
        <v>505</v>
      </c>
      <c r="B19" s="11">
        <v>1000</v>
      </c>
      <c r="C19" s="11" t="s">
        <v>125</v>
      </c>
      <c r="D19" s="12" t="s">
        <v>18</v>
      </c>
      <c r="E19" s="19" t="s">
        <v>400</v>
      </c>
      <c r="F19" s="20">
        <v>500</v>
      </c>
      <c r="G19" s="20" t="s">
        <v>59</v>
      </c>
      <c r="H19" s="21" t="s">
        <v>18</v>
      </c>
      <c r="I19" s="93" t="s">
        <v>388</v>
      </c>
      <c r="J19" s="94"/>
      <c r="K19" s="94">
        <f>SUM(J15:J18)</f>
        <v>651</v>
      </c>
      <c r="L19" s="95">
        <f>K13+K19</f>
        <v>7904</v>
      </c>
    </row>
    <row r="20" spans="1:12" ht="27" thickBot="1" x14ac:dyDescent="0.45">
      <c r="A20" s="10" t="s">
        <v>506</v>
      </c>
      <c r="B20" s="11">
        <v>60</v>
      </c>
      <c r="C20" s="11" t="s">
        <v>125</v>
      </c>
      <c r="D20" s="12" t="s">
        <v>552</v>
      </c>
      <c r="E20" s="86" t="s">
        <v>388</v>
      </c>
      <c r="F20" s="87"/>
      <c r="G20" s="87">
        <f>SUM(F16:F19)</f>
        <v>1360</v>
      </c>
      <c r="H20" s="88">
        <f>G14+G20</f>
        <v>9045</v>
      </c>
      <c r="I20" s="25" t="s">
        <v>96</v>
      </c>
      <c r="J20" s="26">
        <f>SUM(J5:J18)</f>
        <v>7904</v>
      </c>
      <c r="K20" s="26"/>
      <c r="L20" s="27"/>
    </row>
    <row r="21" spans="1:12" ht="27" thickBot="1" x14ac:dyDescent="0.45">
      <c r="A21" s="10" t="s">
        <v>84</v>
      </c>
      <c r="B21" s="11">
        <v>40</v>
      </c>
      <c r="C21" s="11" t="s">
        <v>125</v>
      </c>
      <c r="D21" s="12" t="s">
        <v>553</v>
      </c>
      <c r="E21" s="19" t="s">
        <v>71</v>
      </c>
      <c r="F21" s="20">
        <f>SUM(F5:F19)</f>
        <v>9045</v>
      </c>
      <c r="G21" s="20"/>
      <c r="H21" s="21"/>
    </row>
    <row r="22" spans="1:12" x14ac:dyDescent="0.4">
      <c r="A22" s="10" t="s">
        <v>9</v>
      </c>
      <c r="B22" s="11">
        <v>20</v>
      </c>
      <c r="C22" s="11" t="s">
        <v>125</v>
      </c>
      <c r="D22" s="12" t="s">
        <v>554</v>
      </c>
      <c r="I22" s="1" t="s">
        <v>404</v>
      </c>
    </row>
    <row r="23" spans="1:12" ht="27" thickBot="1" x14ac:dyDescent="0.45">
      <c r="A23" s="13" t="s">
        <v>384</v>
      </c>
      <c r="B23" s="14">
        <f>451+99</f>
        <v>550</v>
      </c>
      <c r="C23" s="14" t="s">
        <v>125</v>
      </c>
      <c r="D23" s="112" t="s">
        <v>2</v>
      </c>
      <c r="E23" s="1" t="s">
        <v>206</v>
      </c>
      <c r="F23" s="1">
        <f>B30+F21+J20</f>
        <v>22722</v>
      </c>
    </row>
    <row r="24" spans="1:12" x14ac:dyDescent="0.4">
      <c r="A24" s="10" t="s">
        <v>388</v>
      </c>
      <c r="B24" s="11"/>
      <c r="C24" s="11">
        <f>SUM(B19:B23)</f>
        <v>1670</v>
      </c>
      <c r="D24" s="12">
        <f>D17+C24</f>
        <v>4923</v>
      </c>
    </row>
    <row r="25" spans="1:12" x14ac:dyDescent="0.4">
      <c r="A25" s="140" t="s">
        <v>438</v>
      </c>
      <c r="B25" s="141"/>
      <c r="C25" s="141"/>
      <c r="D25" s="142"/>
    </row>
    <row r="26" spans="1:12" x14ac:dyDescent="0.4">
      <c r="A26" s="10" t="s">
        <v>37</v>
      </c>
      <c r="B26" s="11">
        <v>310</v>
      </c>
      <c r="C26" s="11" t="s">
        <v>390</v>
      </c>
      <c r="D26" s="12" t="s">
        <v>2</v>
      </c>
    </row>
    <row r="27" spans="1:12" x14ac:dyDescent="0.4">
      <c r="A27" s="10" t="s">
        <v>42</v>
      </c>
      <c r="B27" s="11">
        <f>4973-4933</f>
        <v>40</v>
      </c>
      <c r="C27" s="11" t="s">
        <v>390</v>
      </c>
      <c r="D27" s="12" t="s">
        <v>554</v>
      </c>
    </row>
    <row r="28" spans="1:12" ht="27" thickBot="1" x14ac:dyDescent="0.45">
      <c r="A28" s="13" t="s">
        <v>387</v>
      </c>
      <c r="B28" s="14">
        <v>500</v>
      </c>
      <c r="C28" s="14" t="s">
        <v>390</v>
      </c>
      <c r="D28" s="15" t="s">
        <v>391</v>
      </c>
    </row>
    <row r="29" spans="1:12" ht="27" thickBot="1" x14ac:dyDescent="0.45">
      <c r="A29" s="76" t="s">
        <v>388</v>
      </c>
      <c r="B29" s="91"/>
      <c r="C29" s="91">
        <f>SUM(B26:B28)</f>
        <v>850</v>
      </c>
      <c r="D29" s="92">
        <f>D24+C29</f>
        <v>5773</v>
      </c>
    </row>
    <row r="30" spans="1:12" ht="27" thickBot="1" x14ac:dyDescent="0.45">
      <c r="A30" s="13" t="s">
        <v>97</v>
      </c>
      <c r="B30" s="14">
        <f>SUM(B5:B28)</f>
        <v>5773</v>
      </c>
      <c r="C30" s="14"/>
      <c r="D30" s="15"/>
    </row>
  </sheetData>
  <sortState xmlns:xlrd2="http://schemas.microsoft.com/office/spreadsheetml/2017/richdata2" ref="I15:L18">
    <sortCondition ref="K15:K18"/>
    <sortCondition ref="L15:L18"/>
  </sortState>
  <mergeCells count="12">
    <mergeCell ref="A11:D11"/>
    <mergeCell ref="I14:L14"/>
    <mergeCell ref="E15:H15"/>
    <mergeCell ref="A18:D18"/>
    <mergeCell ref="A25:D25"/>
    <mergeCell ref="A1:L1"/>
    <mergeCell ref="A2:D2"/>
    <mergeCell ref="E2:H2"/>
    <mergeCell ref="I2:L2"/>
    <mergeCell ref="A4:D4"/>
    <mergeCell ref="E4:H4"/>
    <mergeCell ref="I4:L4"/>
  </mergeCells>
  <pageMargins left="0.7" right="0.7" top="0.75" bottom="0.75" header="0.3" footer="0.3"/>
  <pageSetup orientation="portrait" horizontalDpi="300" verticalDpi="30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BB005-0BB7-44A2-958E-799D8ACDC923}">
  <dimension ref="A1:R61"/>
  <sheetViews>
    <sheetView zoomScale="55" zoomScaleNormal="55" workbookViewId="0">
      <selection activeCell="F49" sqref="F49"/>
    </sheetView>
  </sheetViews>
  <sheetFormatPr defaultRowHeight="26.25" x14ac:dyDescent="0.4"/>
  <cols>
    <col min="1" max="1" width="118.28515625" style="1" bestFit="1" customWidth="1"/>
    <col min="2" max="2" width="17.85546875" style="1" bestFit="1" customWidth="1"/>
    <col min="3" max="3" width="36" style="1" bestFit="1" customWidth="1"/>
    <col min="4" max="4" width="62.140625" style="1" bestFit="1" customWidth="1"/>
    <col min="5" max="5" width="92.7109375" style="1" bestFit="1" customWidth="1"/>
    <col min="6" max="6" width="14.42578125" style="1" customWidth="1"/>
    <col min="7" max="7" width="57.42578125" style="1" bestFit="1" customWidth="1"/>
    <col min="8" max="8" width="61.7109375" style="1" bestFit="1" customWidth="1"/>
    <col min="9" max="9" width="101" style="1" bestFit="1" customWidth="1"/>
    <col min="10" max="10" width="14.42578125" style="1" bestFit="1" customWidth="1"/>
    <col min="11" max="11" width="58.28515625" style="1" bestFit="1" customWidth="1"/>
    <col min="12" max="12" width="49.140625" style="1" bestFit="1" customWidth="1"/>
    <col min="13" max="13" width="12" style="1" bestFit="1" customWidth="1"/>
    <col min="14" max="16384" width="9.140625" style="1"/>
  </cols>
  <sheetData>
    <row r="1" spans="1:18" ht="27" thickBot="1" x14ac:dyDescent="0.45">
      <c r="A1" s="143" t="str">
        <f>"Lost Cities (total " &amp; F30 &amp; ")"</f>
        <v>Lost Cities (total 34648)</v>
      </c>
      <c r="B1" s="144"/>
      <c r="C1" s="144"/>
      <c r="D1" s="144"/>
      <c r="E1" s="144"/>
      <c r="F1" s="144"/>
      <c r="G1" s="144"/>
      <c r="H1" s="144"/>
      <c r="I1" s="144"/>
      <c r="J1" s="144"/>
      <c r="K1" s="144"/>
      <c r="L1" s="145"/>
      <c r="N1" s="2"/>
      <c r="P1" s="2"/>
      <c r="R1" s="2"/>
    </row>
    <row r="2" spans="1:18" ht="27" thickBot="1" x14ac:dyDescent="0.45">
      <c r="A2" s="122" t="s">
        <v>98</v>
      </c>
      <c r="B2" s="123"/>
      <c r="C2" s="123"/>
      <c r="D2" s="124"/>
      <c r="E2" s="125" t="s">
        <v>146</v>
      </c>
      <c r="F2" s="126"/>
      <c r="G2" s="126"/>
      <c r="H2" s="127"/>
      <c r="I2" s="128" t="s">
        <v>170</v>
      </c>
      <c r="J2" s="129"/>
      <c r="K2" s="129"/>
      <c r="L2" s="130"/>
    </row>
    <row r="3" spans="1:18" ht="27" thickBot="1" x14ac:dyDescent="0.45">
      <c r="A3" s="36" t="s">
        <v>0</v>
      </c>
      <c r="B3" s="37" t="s">
        <v>1</v>
      </c>
      <c r="C3" s="37" t="s">
        <v>19</v>
      </c>
      <c r="D3" s="38" t="s">
        <v>20</v>
      </c>
      <c r="E3" s="39" t="s">
        <v>0</v>
      </c>
      <c r="F3" s="39" t="s">
        <v>1</v>
      </c>
      <c r="G3" s="39" t="s">
        <v>19</v>
      </c>
      <c r="H3" s="40" t="s">
        <v>20</v>
      </c>
      <c r="I3" s="41" t="s">
        <v>0</v>
      </c>
      <c r="J3" s="42" t="s">
        <v>1</v>
      </c>
      <c r="K3" s="42" t="s">
        <v>19</v>
      </c>
      <c r="L3" s="43" t="s">
        <v>20</v>
      </c>
    </row>
    <row r="4" spans="1:18" x14ac:dyDescent="0.4">
      <c r="A4" s="140" t="s">
        <v>441</v>
      </c>
      <c r="B4" s="141"/>
      <c r="C4" s="141"/>
      <c r="D4" s="142"/>
      <c r="E4" s="146" t="s">
        <v>454</v>
      </c>
      <c r="F4" s="147"/>
      <c r="G4" s="147"/>
      <c r="H4" s="147"/>
      <c r="I4" s="148" t="s">
        <v>446</v>
      </c>
      <c r="J4" s="149"/>
      <c r="K4" s="149"/>
      <c r="L4" s="150"/>
    </row>
    <row r="5" spans="1:18" x14ac:dyDescent="0.4">
      <c r="A5" s="10" t="s">
        <v>103</v>
      </c>
      <c r="B5" s="11">
        <v>200</v>
      </c>
      <c r="C5" s="11" t="s">
        <v>2</v>
      </c>
      <c r="D5" s="12" t="s">
        <v>6</v>
      </c>
      <c r="E5" s="16" t="s">
        <v>148</v>
      </c>
      <c r="F5" s="17">
        <v>125</v>
      </c>
      <c r="G5" s="17" t="s">
        <v>2</v>
      </c>
      <c r="H5" s="17" t="s">
        <v>557</v>
      </c>
      <c r="I5" s="22" t="s">
        <v>172</v>
      </c>
      <c r="J5" s="23">
        <v>240</v>
      </c>
      <c r="K5" s="23" t="s">
        <v>2</v>
      </c>
      <c r="L5" s="24" t="s">
        <v>2</v>
      </c>
    </row>
    <row r="6" spans="1:18" ht="27" thickBot="1" x14ac:dyDescent="0.45">
      <c r="A6" s="10" t="s">
        <v>101</v>
      </c>
      <c r="B6" s="11">
        <f>350-75</f>
        <v>275</v>
      </c>
      <c r="C6" s="11" t="s">
        <v>2</v>
      </c>
      <c r="D6" s="12" t="s">
        <v>28</v>
      </c>
      <c r="E6" s="16" t="s">
        <v>150</v>
      </c>
      <c r="F6" s="17">
        <v>20</v>
      </c>
      <c r="G6" s="17" t="s">
        <v>2</v>
      </c>
      <c r="H6" s="17" t="s">
        <v>32</v>
      </c>
      <c r="I6" s="25" t="s">
        <v>174</v>
      </c>
      <c r="J6" s="26">
        <v>125</v>
      </c>
      <c r="K6" s="26" t="s">
        <v>2</v>
      </c>
      <c r="L6" s="27" t="s">
        <v>554</v>
      </c>
    </row>
    <row r="7" spans="1:18" x14ac:dyDescent="0.4">
      <c r="A7" s="10" t="s">
        <v>104</v>
      </c>
      <c r="B7" s="11">
        <v>175</v>
      </c>
      <c r="C7" s="11" t="s">
        <v>2</v>
      </c>
      <c r="D7" s="12" t="s">
        <v>105</v>
      </c>
      <c r="E7" s="16" t="s">
        <v>84</v>
      </c>
      <c r="F7" s="17">
        <v>80</v>
      </c>
      <c r="G7" s="17" t="s">
        <v>2</v>
      </c>
      <c r="H7" s="17" t="s">
        <v>553</v>
      </c>
      <c r="I7" s="22" t="s">
        <v>388</v>
      </c>
      <c r="J7" s="23"/>
      <c r="K7" s="23">
        <f>J5+J6</f>
        <v>365</v>
      </c>
      <c r="L7" s="24"/>
    </row>
    <row r="8" spans="1:18" ht="27" thickBot="1" x14ac:dyDescent="0.45">
      <c r="A8" s="10" t="s">
        <v>85</v>
      </c>
      <c r="B8" s="11">
        <v>60</v>
      </c>
      <c r="C8" s="11" t="s">
        <v>2</v>
      </c>
      <c r="D8" s="12" t="s">
        <v>552</v>
      </c>
      <c r="E8" s="19" t="s">
        <v>149</v>
      </c>
      <c r="F8" s="20">
        <v>507</v>
      </c>
      <c r="G8" s="20" t="s">
        <v>2</v>
      </c>
      <c r="H8" s="21" t="s">
        <v>2</v>
      </c>
      <c r="I8" s="137" t="s">
        <v>447</v>
      </c>
      <c r="J8" s="138"/>
      <c r="K8" s="138"/>
      <c r="L8" s="139"/>
    </row>
    <row r="9" spans="1:18" x14ac:dyDescent="0.4">
      <c r="A9" s="10" t="s">
        <v>134</v>
      </c>
      <c r="B9" s="11">
        <v>20</v>
      </c>
      <c r="C9" s="11" t="s">
        <v>2</v>
      </c>
      <c r="D9" s="12" t="s">
        <v>553</v>
      </c>
      <c r="E9" s="16" t="s">
        <v>388</v>
      </c>
      <c r="F9" s="17"/>
      <c r="G9" s="17">
        <f>SUM(F5:F8)</f>
        <v>732</v>
      </c>
      <c r="H9" s="17"/>
      <c r="I9" s="22" t="s">
        <v>513</v>
      </c>
      <c r="J9" s="23">
        <f>225+250</f>
        <v>475</v>
      </c>
      <c r="K9" s="23" t="s">
        <v>89</v>
      </c>
      <c r="L9" s="24" t="s">
        <v>32</v>
      </c>
    </row>
    <row r="10" spans="1:18" x14ac:dyDescent="0.4">
      <c r="A10" s="10" t="s">
        <v>135</v>
      </c>
      <c r="B10" s="11">
        <f>765-175</f>
        <v>590</v>
      </c>
      <c r="C10" s="11" t="s">
        <v>2</v>
      </c>
      <c r="D10" s="12" t="s">
        <v>554</v>
      </c>
      <c r="E10" s="134" t="s">
        <v>455</v>
      </c>
      <c r="F10" s="135"/>
      <c r="G10" s="135"/>
      <c r="H10" s="136"/>
      <c r="I10" s="22" t="s">
        <v>424</v>
      </c>
      <c r="J10" s="23">
        <v>50</v>
      </c>
      <c r="K10" s="23" t="s">
        <v>89</v>
      </c>
      <c r="L10" s="24" t="s">
        <v>105</v>
      </c>
    </row>
    <row r="11" spans="1:18" x14ac:dyDescent="0.4">
      <c r="A11" s="10" t="s">
        <v>25</v>
      </c>
      <c r="B11" s="11">
        <v>750</v>
      </c>
      <c r="C11" s="11" t="s">
        <v>2</v>
      </c>
      <c r="D11" s="12" t="s">
        <v>555</v>
      </c>
      <c r="E11" s="16" t="s">
        <v>161</v>
      </c>
      <c r="F11" s="17">
        <v>500</v>
      </c>
      <c r="G11" s="17" t="s">
        <v>32</v>
      </c>
      <c r="H11" s="17" t="s">
        <v>18</v>
      </c>
      <c r="I11" s="22" t="s">
        <v>512</v>
      </c>
      <c r="J11" s="23">
        <v>125</v>
      </c>
      <c r="K11" s="23" t="s">
        <v>89</v>
      </c>
      <c r="L11" s="24" t="s">
        <v>554</v>
      </c>
    </row>
    <row r="12" spans="1:18" x14ac:dyDescent="0.4">
      <c r="A12" s="10" t="s">
        <v>100</v>
      </c>
      <c r="B12" s="11">
        <v>722</v>
      </c>
      <c r="C12" s="11" t="s">
        <v>2</v>
      </c>
      <c r="D12" s="12" t="s">
        <v>2</v>
      </c>
      <c r="E12" s="16" t="s">
        <v>148</v>
      </c>
      <c r="F12" s="17">
        <v>125</v>
      </c>
      <c r="G12" s="17" t="s">
        <v>32</v>
      </c>
      <c r="H12" s="17" t="s">
        <v>557</v>
      </c>
      <c r="I12" s="22" t="s">
        <v>363</v>
      </c>
      <c r="J12" s="23">
        <v>2148</v>
      </c>
      <c r="K12" s="23" t="s">
        <v>89</v>
      </c>
      <c r="L12" s="24" t="s">
        <v>2</v>
      </c>
    </row>
    <row r="13" spans="1:18" ht="27" thickBot="1" x14ac:dyDescent="0.45">
      <c r="A13" s="13" t="s">
        <v>510</v>
      </c>
      <c r="B13" s="14">
        <v>650</v>
      </c>
      <c r="C13" s="14" t="s">
        <v>89</v>
      </c>
      <c r="D13" s="15" t="s">
        <v>32</v>
      </c>
      <c r="E13" s="16" t="s">
        <v>85</v>
      </c>
      <c r="F13" s="17">
        <v>20</v>
      </c>
      <c r="G13" s="17" t="s">
        <v>32</v>
      </c>
      <c r="H13" s="17" t="s">
        <v>552</v>
      </c>
      <c r="I13" s="22" t="s">
        <v>265</v>
      </c>
      <c r="J13" s="23">
        <f>4736-2148</f>
        <v>2588</v>
      </c>
      <c r="K13" s="23" t="s">
        <v>89</v>
      </c>
      <c r="L13" s="24" t="s">
        <v>2</v>
      </c>
    </row>
    <row r="14" spans="1:18" x14ac:dyDescent="0.4">
      <c r="A14" s="10" t="s">
        <v>388</v>
      </c>
      <c r="B14" s="11"/>
      <c r="C14" s="11">
        <f>SUM(B5:B13)</f>
        <v>3442</v>
      </c>
      <c r="D14" s="12"/>
      <c r="E14" s="16" t="s">
        <v>160</v>
      </c>
      <c r="F14" s="17">
        <v>20</v>
      </c>
      <c r="G14" s="17" t="s">
        <v>32</v>
      </c>
      <c r="H14" s="17" t="s">
        <v>553</v>
      </c>
      <c r="I14" s="22" t="s">
        <v>422</v>
      </c>
      <c r="J14" s="23">
        <v>1500</v>
      </c>
      <c r="K14" s="23" t="s">
        <v>178</v>
      </c>
      <c r="L14" s="24" t="s">
        <v>18</v>
      </c>
    </row>
    <row r="15" spans="1:18" x14ac:dyDescent="0.4">
      <c r="A15" s="140" t="s">
        <v>442</v>
      </c>
      <c r="B15" s="141"/>
      <c r="C15" s="141"/>
      <c r="D15" s="142"/>
      <c r="E15" s="16" t="s">
        <v>265</v>
      </c>
      <c r="F15" s="17">
        <v>730</v>
      </c>
      <c r="G15" s="17" t="s">
        <v>32</v>
      </c>
      <c r="H15" s="17" t="s">
        <v>2</v>
      </c>
      <c r="I15" s="22" t="s">
        <v>421</v>
      </c>
      <c r="J15" s="23">
        <v>397</v>
      </c>
      <c r="K15" s="23" t="s">
        <v>178</v>
      </c>
      <c r="L15" s="24" t="s">
        <v>2</v>
      </c>
    </row>
    <row r="16" spans="1:18" ht="27" thickBot="1" x14ac:dyDescent="0.45">
      <c r="A16" s="10" t="s">
        <v>511</v>
      </c>
      <c r="B16" s="11">
        <v>50</v>
      </c>
      <c r="C16" s="11" t="s">
        <v>6</v>
      </c>
      <c r="D16" s="12" t="s">
        <v>554</v>
      </c>
      <c r="E16" s="19" t="s">
        <v>508</v>
      </c>
      <c r="F16" s="20">
        <v>1575</v>
      </c>
      <c r="G16" s="20" t="s">
        <v>501</v>
      </c>
      <c r="H16" s="21" t="s">
        <v>2</v>
      </c>
      <c r="I16" s="25" t="s">
        <v>426</v>
      </c>
      <c r="J16" s="26">
        <v>50</v>
      </c>
      <c r="K16" s="26" t="s">
        <v>185</v>
      </c>
      <c r="L16" s="27" t="s">
        <v>2</v>
      </c>
    </row>
    <row r="17" spans="1:12" x14ac:dyDescent="0.4">
      <c r="A17" s="10" t="s">
        <v>413</v>
      </c>
      <c r="B17" s="11">
        <v>20</v>
      </c>
      <c r="C17" s="11" t="s">
        <v>6</v>
      </c>
      <c r="D17" s="12" t="s">
        <v>553</v>
      </c>
      <c r="E17" s="16" t="s">
        <v>388</v>
      </c>
      <c r="F17" s="17"/>
      <c r="G17" s="17">
        <f>SUM(F11:F16)</f>
        <v>2970</v>
      </c>
      <c r="H17" s="17">
        <f>G9+G17</f>
        <v>3702</v>
      </c>
      <c r="I17" s="22" t="s">
        <v>388</v>
      </c>
      <c r="J17" s="23"/>
      <c r="K17" s="23">
        <f>SUM(J9:J16)</f>
        <v>7333</v>
      </c>
      <c r="L17" s="24">
        <f>K7+K17</f>
        <v>7698</v>
      </c>
    </row>
    <row r="18" spans="1:12" ht="27" thickBot="1" x14ac:dyDescent="0.45">
      <c r="A18" s="13" t="s">
        <v>541</v>
      </c>
      <c r="B18" s="14">
        <f>148+525</f>
        <v>673</v>
      </c>
      <c r="C18" s="14" t="s">
        <v>6</v>
      </c>
      <c r="D18" s="15" t="s">
        <v>2</v>
      </c>
      <c r="E18" s="134" t="s">
        <v>453</v>
      </c>
      <c r="F18" s="135"/>
      <c r="G18" s="135"/>
      <c r="H18" s="136"/>
      <c r="I18" s="137" t="s">
        <v>546</v>
      </c>
      <c r="J18" s="138"/>
      <c r="K18" s="138"/>
      <c r="L18" s="139"/>
    </row>
    <row r="19" spans="1:12" x14ac:dyDescent="0.4">
      <c r="A19" s="10" t="s">
        <v>388</v>
      </c>
      <c r="B19" s="11"/>
      <c r="C19" s="11">
        <f>SUM(B16:B18)</f>
        <v>743</v>
      </c>
      <c r="D19" s="12">
        <f>C14+C19</f>
        <v>4185</v>
      </c>
      <c r="E19" s="16" t="s">
        <v>147</v>
      </c>
      <c r="F19" s="17">
        <v>475</v>
      </c>
      <c r="G19" s="17" t="s">
        <v>500</v>
      </c>
      <c r="H19" s="17" t="s">
        <v>557</v>
      </c>
      <c r="I19" s="22" t="s">
        <v>427</v>
      </c>
      <c r="J19" s="23">
        <v>1500</v>
      </c>
      <c r="K19" s="23" t="s">
        <v>187</v>
      </c>
      <c r="L19" s="24" t="s">
        <v>18</v>
      </c>
    </row>
    <row r="20" spans="1:12" ht="27" thickBot="1" x14ac:dyDescent="0.45">
      <c r="A20" s="140" t="s">
        <v>565</v>
      </c>
      <c r="B20" s="141"/>
      <c r="C20" s="141"/>
      <c r="D20" s="142"/>
      <c r="E20" s="16" t="s">
        <v>160</v>
      </c>
      <c r="F20" s="17">
        <v>40</v>
      </c>
      <c r="G20" s="17" t="s">
        <v>500</v>
      </c>
      <c r="H20" s="17" t="s">
        <v>553</v>
      </c>
      <c r="I20" s="25" t="s">
        <v>428</v>
      </c>
      <c r="J20" s="26">
        <v>50</v>
      </c>
      <c r="K20" s="26" t="s">
        <v>187</v>
      </c>
      <c r="L20" s="27" t="s">
        <v>554</v>
      </c>
    </row>
    <row r="21" spans="1:12" x14ac:dyDescent="0.4">
      <c r="A21" s="10" t="s">
        <v>103</v>
      </c>
      <c r="B21" s="11">
        <v>50</v>
      </c>
      <c r="C21" s="11" t="s">
        <v>82</v>
      </c>
      <c r="D21" s="12" t="s">
        <v>6</v>
      </c>
      <c r="E21" s="16" t="s">
        <v>563</v>
      </c>
      <c r="F21" s="17">
        <v>400</v>
      </c>
      <c r="G21" s="17" t="s">
        <v>500</v>
      </c>
      <c r="H21" s="17" t="s">
        <v>2</v>
      </c>
      <c r="I21" s="22" t="s">
        <v>388</v>
      </c>
      <c r="J21" s="23"/>
      <c r="K21" s="23">
        <f>J19+J20</f>
        <v>1550</v>
      </c>
      <c r="L21" s="24">
        <f>L17+K21</f>
        <v>9248</v>
      </c>
    </row>
    <row r="22" spans="1:12" ht="27" thickBot="1" x14ac:dyDescent="0.45">
      <c r="A22" s="10" t="s">
        <v>101</v>
      </c>
      <c r="B22" s="11">
        <v>50</v>
      </c>
      <c r="C22" s="11" t="s">
        <v>82</v>
      </c>
      <c r="D22" s="12" t="s">
        <v>28</v>
      </c>
      <c r="E22" s="19" t="s">
        <v>265</v>
      </c>
      <c r="F22" s="20">
        <v>1225</v>
      </c>
      <c r="G22" s="20" t="s">
        <v>500</v>
      </c>
      <c r="H22" s="21" t="s">
        <v>2</v>
      </c>
      <c r="I22" s="137" t="s">
        <v>448</v>
      </c>
      <c r="J22" s="138"/>
      <c r="K22" s="138"/>
      <c r="L22" s="139"/>
    </row>
    <row r="23" spans="1:12" x14ac:dyDescent="0.4">
      <c r="A23" s="10" t="s">
        <v>85</v>
      </c>
      <c r="B23" s="11">
        <v>20</v>
      </c>
      <c r="C23" s="11" t="s">
        <v>82</v>
      </c>
      <c r="D23" s="12" t="s">
        <v>552</v>
      </c>
      <c r="E23" s="16" t="s">
        <v>388</v>
      </c>
      <c r="F23" s="17"/>
      <c r="G23" s="17">
        <f>SUM(F19:F22)</f>
        <v>2140</v>
      </c>
      <c r="H23" s="17">
        <f>H17+G23</f>
        <v>5842</v>
      </c>
      <c r="I23" s="22" t="s">
        <v>175</v>
      </c>
      <c r="J23" s="23">
        <v>606</v>
      </c>
      <c r="K23" s="23" t="s">
        <v>191</v>
      </c>
      <c r="L23" s="24" t="s">
        <v>2</v>
      </c>
    </row>
    <row r="24" spans="1:12" ht="27" thickBot="1" x14ac:dyDescent="0.45">
      <c r="A24" s="10" t="s">
        <v>112</v>
      </c>
      <c r="B24" s="11">
        <v>40</v>
      </c>
      <c r="C24" s="11" t="s">
        <v>82</v>
      </c>
      <c r="D24" s="12" t="s">
        <v>554</v>
      </c>
      <c r="E24" s="134" t="s">
        <v>456</v>
      </c>
      <c r="F24" s="135"/>
      <c r="G24" s="135"/>
      <c r="H24" s="136"/>
      <c r="I24" s="25" t="s">
        <v>196</v>
      </c>
      <c r="J24" s="26">
        <v>150</v>
      </c>
      <c r="K24" s="26" t="s">
        <v>197</v>
      </c>
      <c r="L24" s="27" t="s">
        <v>2</v>
      </c>
    </row>
    <row r="25" spans="1:12" x14ac:dyDescent="0.4">
      <c r="A25" s="10" t="s">
        <v>25</v>
      </c>
      <c r="B25" s="11">
        <v>125</v>
      </c>
      <c r="C25" s="11" t="s">
        <v>82</v>
      </c>
      <c r="D25" s="12" t="s">
        <v>556</v>
      </c>
      <c r="E25" s="16" t="s">
        <v>164</v>
      </c>
      <c r="F25" s="17">
        <f>715+100</f>
        <v>815</v>
      </c>
      <c r="G25" s="17" t="s">
        <v>502</v>
      </c>
      <c r="H25" s="17" t="s">
        <v>2</v>
      </c>
      <c r="I25" s="22" t="s">
        <v>388</v>
      </c>
      <c r="J25" s="23"/>
      <c r="K25" s="23">
        <f>J23+J24</f>
        <v>756</v>
      </c>
      <c r="L25" s="24">
        <f>L21+K25</f>
        <v>10004</v>
      </c>
    </row>
    <row r="26" spans="1:12" ht="27" thickBot="1" x14ac:dyDescent="0.45">
      <c r="A26" s="10" t="s">
        <v>4</v>
      </c>
      <c r="B26" s="11">
        <v>239</v>
      </c>
      <c r="C26" s="11" t="s">
        <v>82</v>
      </c>
      <c r="D26" s="12" t="s">
        <v>2</v>
      </c>
      <c r="E26" s="19" t="s">
        <v>167</v>
      </c>
      <c r="F26" s="20">
        <v>500</v>
      </c>
      <c r="G26" s="17" t="s">
        <v>502</v>
      </c>
      <c r="H26" s="21" t="s">
        <v>18</v>
      </c>
      <c r="I26" s="137" t="s">
        <v>449</v>
      </c>
      <c r="J26" s="138"/>
      <c r="K26" s="138"/>
      <c r="L26" s="139"/>
    </row>
    <row r="27" spans="1:12" ht="27" thickBot="1" x14ac:dyDescent="0.45">
      <c r="A27" s="10" t="s">
        <v>118</v>
      </c>
      <c r="B27" s="11">
        <v>20</v>
      </c>
      <c r="C27" s="11" t="s">
        <v>115</v>
      </c>
      <c r="D27" s="12" t="s">
        <v>552</v>
      </c>
      <c r="E27" s="86" t="s">
        <v>388</v>
      </c>
      <c r="F27" s="87"/>
      <c r="G27" s="87">
        <f>SUM(F25:F26)</f>
        <v>1315</v>
      </c>
      <c r="H27" s="88">
        <f>H23+G27</f>
        <v>7157</v>
      </c>
      <c r="I27" s="22" t="s">
        <v>175</v>
      </c>
      <c r="J27" s="23">
        <f>540+1701</f>
        <v>2241</v>
      </c>
      <c r="K27" s="23" t="s">
        <v>547</v>
      </c>
      <c r="L27" s="24" t="s">
        <v>2</v>
      </c>
    </row>
    <row r="28" spans="1:12" ht="27" thickBot="1" x14ac:dyDescent="0.45">
      <c r="A28" s="10" t="s">
        <v>116</v>
      </c>
      <c r="B28" s="11">
        <v>40</v>
      </c>
      <c r="C28" s="11" t="s">
        <v>115</v>
      </c>
      <c r="D28" s="12" t="s">
        <v>554</v>
      </c>
      <c r="E28" s="19" t="s">
        <v>145</v>
      </c>
      <c r="F28" s="20">
        <f>SUM(F5:F26)</f>
        <v>7157</v>
      </c>
      <c r="G28" s="20"/>
      <c r="H28" s="20"/>
      <c r="I28" s="25" t="s">
        <v>202</v>
      </c>
      <c r="J28" s="26">
        <v>1500</v>
      </c>
      <c r="K28" s="26" t="s">
        <v>547</v>
      </c>
      <c r="L28" s="27" t="s">
        <v>18</v>
      </c>
    </row>
    <row r="29" spans="1:12" ht="27" thickBot="1" x14ac:dyDescent="0.45">
      <c r="A29" s="13" t="s">
        <v>117</v>
      </c>
      <c r="B29" s="14">
        <v>125</v>
      </c>
      <c r="C29" s="14" t="s">
        <v>115</v>
      </c>
      <c r="D29" s="15" t="s">
        <v>2</v>
      </c>
      <c r="I29" s="22" t="s">
        <v>388</v>
      </c>
      <c r="J29" s="23"/>
      <c r="K29" s="23">
        <f>SUM(J27:J28)</f>
        <v>3741</v>
      </c>
      <c r="L29" s="24">
        <f>L25+K29</f>
        <v>13745</v>
      </c>
    </row>
    <row r="30" spans="1:12" x14ac:dyDescent="0.4">
      <c r="A30" s="10" t="s">
        <v>388</v>
      </c>
      <c r="B30" s="11"/>
      <c r="C30" s="11">
        <f>SUM(B21:B29)</f>
        <v>709</v>
      </c>
      <c r="D30" s="12">
        <f>D19+C30</f>
        <v>4894</v>
      </c>
      <c r="E30" s="1" t="s">
        <v>204</v>
      </c>
      <c r="F30" s="1">
        <f>B49+F28+J33</f>
        <v>34648</v>
      </c>
      <c r="I30" s="137" t="s">
        <v>450</v>
      </c>
      <c r="J30" s="138"/>
      <c r="K30" s="138"/>
      <c r="L30" s="139"/>
    </row>
    <row r="31" spans="1:12" ht="27" thickBot="1" x14ac:dyDescent="0.45">
      <c r="A31" s="140" t="s">
        <v>540</v>
      </c>
      <c r="B31" s="141"/>
      <c r="C31" s="141"/>
      <c r="D31" s="142"/>
      <c r="I31" s="22" t="s">
        <v>549</v>
      </c>
      <c r="J31" s="23">
        <f>208+692</f>
        <v>900</v>
      </c>
      <c r="K31" s="23" t="s">
        <v>548</v>
      </c>
      <c r="L31" s="24" t="s">
        <v>2</v>
      </c>
    </row>
    <row r="32" spans="1:12" ht="27" thickBot="1" x14ac:dyDescent="0.45">
      <c r="A32" s="10" t="s">
        <v>129</v>
      </c>
      <c r="B32" s="11">
        <v>20</v>
      </c>
      <c r="C32" s="11" t="s">
        <v>125</v>
      </c>
      <c r="D32" s="12" t="s">
        <v>552</v>
      </c>
      <c r="I32" s="93" t="s">
        <v>388</v>
      </c>
      <c r="J32" s="94"/>
      <c r="K32" s="94">
        <f>J31</f>
        <v>900</v>
      </c>
      <c r="L32" s="95">
        <f>L29+K32</f>
        <v>14645</v>
      </c>
    </row>
    <row r="33" spans="1:12" ht="27" thickBot="1" x14ac:dyDescent="0.45">
      <c r="A33" s="10" t="s">
        <v>562</v>
      </c>
      <c r="B33" s="11">
        <v>2070</v>
      </c>
      <c r="C33" s="11" t="s">
        <v>125</v>
      </c>
      <c r="D33" s="12" t="s">
        <v>2</v>
      </c>
      <c r="I33" s="25" t="s">
        <v>171</v>
      </c>
      <c r="J33" s="26">
        <f>SUM(J5:J31)</f>
        <v>14645</v>
      </c>
      <c r="K33" s="26"/>
      <c r="L33" s="27"/>
    </row>
    <row r="34" spans="1:12" x14ac:dyDescent="0.4">
      <c r="A34" s="10" t="s">
        <v>545</v>
      </c>
      <c r="B34" s="11">
        <v>20</v>
      </c>
      <c r="C34" s="11" t="s">
        <v>131</v>
      </c>
      <c r="D34" s="12" t="s">
        <v>543</v>
      </c>
    </row>
    <row r="35" spans="1:12" x14ac:dyDescent="0.4">
      <c r="A35" s="10" t="s">
        <v>544</v>
      </c>
      <c r="B35" s="11">
        <v>493</v>
      </c>
      <c r="C35" s="11" t="s">
        <v>131</v>
      </c>
      <c r="D35" s="12" t="s">
        <v>2</v>
      </c>
    </row>
    <row r="36" spans="1:12" ht="27" thickBot="1" x14ac:dyDescent="0.45">
      <c r="A36" s="13" t="s">
        <v>542</v>
      </c>
      <c r="B36" s="14">
        <v>1050</v>
      </c>
      <c r="C36" s="14" t="s">
        <v>418</v>
      </c>
      <c r="D36" s="15" t="s">
        <v>2</v>
      </c>
    </row>
    <row r="37" spans="1:12" x14ac:dyDescent="0.4">
      <c r="A37" s="10" t="s">
        <v>388</v>
      </c>
      <c r="B37" s="11"/>
      <c r="C37" s="11">
        <f>SUM(B32:B36)</f>
        <v>3653</v>
      </c>
      <c r="D37" s="12">
        <f>D30+C37</f>
        <v>8547</v>
      </c>
    </row>
    <row r="38" spans="1:12" x14ac:dyDescent="0.4">
      <c r="A38" s="140" t="s">
        <v>561</v>
      </c>
      <c r="B38" s="141"/>
      <c r="C38" s="141"/>
      <c r="D38" s="142"/>
    </row>
    <row r="39" spans="1:12" x14ac:dyDescent="0.4">
      <c r="A39" s="10" t="s">
        <v>129</v>
      </c>
      <c r="B39" s="11">
        <v>20</v>
      </c>
      <c r="C39" s="11" t="s">
        <v>137</v>
      </c>
      <c r="D39" s="12" t="s">
        <v>552</v>
      </c>
    </row>
    <row r="40" spans="1:12" x14ac:dyDescent="0.4">
      <c r="A40" s="10" t="s">
        <v>84</v>
      </c>
      <c r="B40" s="11">
        <v>40</v>
      </c>
      <c r="C40" s="11" t="s">
        <v>137</v>
      </c>
      <c r="D40" s="12" t="s">
        <v>553</v>
      </c>
    </row>
    <row r="41" spans="1:12" x14ac:dyDescent="0.4">
      <c r="A41" s="10" t="s">
        <v>141</v>
      </c>
      <c r="B41" s="11">
        <v>200</v>
      </c>
      <c r="C41" s="11" t="s">
        <v>137</v>
      </c>
      <c r="D41" s="12" t="s">
        <v>554</v>
      </c>
    </row>
    <row r="42" spans="1:12" x14ac:dyDescent="0.4">
      <c r="A42" s="10" t="s">
        <v>562</v>
      </c>
      <c r="B42" s="11">
        <f>3664-2165</f>
        <v>1499</v>
      </c>
      <c r="C42" s="11" t="s">
        <v>137</v>
      </c>
      <c r="D42" s="12" t="s">
        <v>2</v>
      </c>
    </row>
    <row r="43" spans="1:12" x14ac:dyDescent="0.4">
      <c r="A43" s="10" t="s">
        <v>360</v>
      </c>
      <c r="B43" s="11">
        <v>2165</v>
      </c>
      <c r="C43" s="11" t="s">
        <v>137</v>
      </c>
      <c r="D43" s="12" t="s">
        <v>2</v>
      </c>
    </row>
    <row r="44" spans="1:12" ht="27" thickBot="1" x14ac:dyDescent="0.45">
      <c r="A44" s="13" t="s">
        <v>142</v>
      </c>
      <c r="B44" s="14">
        <v>275</v>
      </c>
      <c r="C44" s="14" t="s">
        <v>143</v>
      </c>
      <c r="D44" s="15" t="s">
        <v>32</v>
      </c>
    </row>
    <row r="45" spans="1:12" x14ac:dyDescent="0.4">
      <c r="A45" s="10" t="s">
        <v>388</v>
      </c>
      <c r="B45" s="11"/>
      <c r="C45" s="11">
        <f>SUM(B39:B44)</f>
        <v>4199</v>
      </c>
      <c r="D45" s="12">
        <f>D37+C45</f>
        <v>12746</v>
      </c>
    </row>
    <row r="46" spans="1:12" x14ac:dyDescent="0.4">
      <c r="A46" s="140" t="s">
        <v>445</v>
      </c>
      <c r="B46" s="141"/>
      <c r="C46" s="141"/>
      <c r="D46" s="142"/>
    </row>
    <row r="47" spans="1:12" ht="27" thickBot="1" x14ac:dyDescent="0.45">
      <c r="A47" s="13" t="s">
        <v>169</v>
      </c>
      <c r="B47" s="14">
        <v>100</v>
      </c>
      <c r="C47" s="14" t="s">
        <v>369</v>
      </c>
      <c r="D47" s="15" t="s">
        <v>554</v>
      </c>
    </row>
    <row r="48" spans="1:12" ht="27" thickBot="1" x14ac:dyDescent="0.45">
      <c r="A48" s="76" t="s">
        <v>388</v>
      </c>
      <c r="B48" s="91"/>
      <c r="C48" s="91">
        <f>B47</f>
        <v>100</v>
      </c>
      <c r="D48" s="92">
        <f>D45+C48</f>
        <v>12846</v>
      </c>
    </row>
    <row r="49" spans="1:4" ht="27" thickBot="1" x14ac:dyDescent="0.45">
      <c r="A49" s="13" t="s">
        <v>99</v>
      </c>
      <c r="B49" s="14">
        <f>SUM(B5:B47)</f>
        <v>12846</v>
      </c>
      <c r="C49" s="14"/>
      <c r="D49" s="15"/>
    </row>
    <row r="51" spans="1:4" x14ac:dyDescent="0.4">
      <c r="C51" s="3"/>
      <c r="D51" s="3"/>
    </row>
    <row r="55" spans="1:4" x14ac:dyDescent="0.4">
      <c r="A55" s="151"/>
      <c r="B55" s="151"/>
      <c r="C55" s="151"/>
      <c r="D55" s="151"/>
    </row>
    <row r="58" spans="1:4" x14ac:dyDescent="0.4">
      <c r="A58" s="151"/>
      <c r="B58" s="151"/>
      <c r="C58" s="151"/>
      <c r="D58" s="151"/>
    </row>
    <row r="61" spans="1:4" x14ac:dyDescent="0.4">
      <c r="A61" s="151"/>
      <c r="B61" s="151"/>
      <c r="C61" s="151"/>
      <c r="D61" s="151"/>
    </row>
  </sheetData>
  <sortState xmlns:xlrd2="http://schemas.microsoft.com/office/spreadsheetml/2017/richdata2" ref="A32:D36">
    <sortCondition ref="C32:C36"/>
    <sortCondition ref="D32:D36"/>
  </sortState>
  <mergeCells count="23">
    <mergeCell ref="A55:D55"/>
    <mergeCell ref="A58:D58"/>
    <mergeCell ref="A61:D61"/>
    <mergeCell ref="A20:D20"/>
    <mergeCell ref="I26:L26"/>
    <mergeCell ref="I30:L30"/>
    <mergeCell ref="A31:D31"/>
    <mergeCell ref="A38:D38"/>
    <mergeCell ref="A46:D46"/>
    <mergeCell ref="I8:L8"/>
    <mergeCell ref="E10:H10"/>
    <mergeCell ref="A15:D15"/>
    <mergeCell ref="E18:H18"/>
    <mergeCell ref="E24:H24"/>
    <mergeCell ref="I22:L22"/>
    <mergeCell ref="I18:L18"/>
    <mergeCell ref="A1:L1"/>
    <mergeCell ref="A2:D2"/>
    <mergeCell ref="E2:H2"/>
    <mergeCell ref="I2:L2"/>
    <mergeCell ref="A4:D4"/>
    <mergeCell ref="E4:H4"/>
    <mergeCell ref="I4:L4"/>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840FF-13D1-43E6-A054-AFCA74F20415}">
  <dimension ref="A1:R90"/>
  <sheetViews>
    <sheetView topLeftCell="C1" zoomScale="55" zoomScaleNormal="55" workbookViewId="0">
      <selection activeCell="I23" sqref="I23"/>
    </sheetView>
  </sheetViews>
  <sheetFormatPr defaultRowHeight="26.25" x14ac:dyDescent="0.4"/>
  <cols>
    <col min="1" max="1" width="133.5703125" style="1" bestFit="1" customWidth="1"/>
    <col min="2" max="2" width="14.85546875" style="1" bestFit="1" customWidth="1"/>
    <col min="3" max="3" width="149.5703125" style="1" bestFit="1" customWidth="1"/>
    <col min="4" max="4" width="62.140625" style="1" bestFit="1" customWidth="1"/>
    <col min="5" max="5" width="96.7109375" style="1" bestFit="1" customWidth="1"/>
    <col min="6" max="6" width="14.85546875" style="1" bestFit="1" customWidth="1"/>
    <col min="7" max="7" width="22.140625" style="1" bestFit="1" customWidth="1"/>
    <col min="8" max="8" width="53.85546875" style="1" bestFit="1" customWidth="1"/>
    <col min="9" max="9" width="119.140625" style="1" bestFit="1" customWidth="1"/>
    <col min="10" max="10" width="14.85546875" style="1" bestFit="1" customWidth="1"/>
    <col min="11" max="11" width="59.140625" style="1" bestFit="1" customWidth="1"/>
    <col min="12" max="12" width="58.7109375" style="1" bestFit="1" customWidth="1"/>
    <col min="13" max="16384" width="9.140625" style="1"/>
  </cols>
  <sheetData>
    <row r="1" spans="1:18" ht="27" thickBot="1" x14ac:dyDescent="0.45">
      <c r="A1" s="143" t="str">
        <f>"Icy Wilderness (total " &amp; F10 &amp; ")"</f>
        <v>Icy Wilderness (total 35781)</v>
      </c>
      <c r="B1" s="144"/>
      <c r="C1" s="144"/>
      <c r="D1" s="144"/>
      <c r="E1" s="144"/>
      <c r="F1" s="144"/>
      <c r="G1" s="144"/>
      <c r="H1" s="144"/>
      <c r="I1" s="144"/>
      <c r="J1" s="144"/>
      <c r="K1" s="144"/>
      <c r="L1" s="145"/>
      <c r="N1" s="2"/>
      <c r="P1" s="2"/>
      <c r="R1" s="2"/>
    </row>
    <row r="2" spans="1:18" ht="27" thickBot="1" x14ac:dyDescent="0.45">
      <c r="A2" s="122" t="s">
        <v>207</v>
      </c>
      <c r="B2" s="123"/>
      <c r="C2" s="123"/>
      <c r="D2" s="124"/>
      <c r="E2" s="125" t="s">
        <v>228</v>
      </c>
      <c r="F2" s="126"/>
      <c r="G2" s="126"/>
      <c r="H2" s="127"/>
      <c r="I2" s="128" t="s">
        <v>240</v>
      </c>
      <c r="J2" s="129"/>
      <c r="K2" s="129"/>
      <c r="L2" s="130"/>
    </row>
    <row r="3" spans="1:18" ht="27" thickBot="1" x14ac:dyDescent="0.45">
      <c r="A3" s="36" t="s">
        <v>0</v>
      </c>
      <c r="B3" s="37" t="s">
        <v>1</v>
      </c>
      <c r="C3" s="37" t="s">
        <v>19</v>
      </c>
      <c r="D3" s="38" t="s">
        <v>20</v>
      </c>
      <c r="E3" s="52" t="s">
        <v>0</v>
      </c>
      <c r="F3" s="39" t="s">
        <v>1</v>
      </c>
      <c r="G3" s="39" t="s">
        <v>19</v>
      </c>
      <c r="H3" s="40" t="s">
        <v>20</v>
      </c>
      <c r="I3" s="41" t="s">
        <v>0</v>
      </c>
      <c r="J3" s="42" t="s">
        <v>1</v>
      </c>
      <c r="K3" s="42" t="s">
        <v>19</v>
      </c>
      <c r="L3" s="43" t="s">
        <v>20</v>
      </c>
    </row>
    <row r="4" spans="1:18" x14ac:dyDescent="0.4">
      <c r="A4" s="131" t="s">
        <v>457</v>
      </c>
      <c r="B4" s="152"/>
      <c r="C4" s="152"/>
      <c r="D4" s="153"/>
      <c r="E4" s="146" t="s">
        <v>461</v>
      </c>
      <c r="F4" s="147"/>
      <c r="G4" s="147"/>
      <c r="H4" s="147"/>
      <c r="I4" s="148" t="s">
        <v>462</v>
      </c>
      <c r="J4" s="149"/>
      <c r="K4" s="149"/>
      <c r="L4" s="150"/>
    </row>
    <row r="5" spans="1:18" x14ac:dyDescent="0.4">
      <c r="A5" s="10" t="s">
        <v>25</v>
      </c>
      <c r="B5" s="45">
        <v>25</v>
      </c>
      <c r="C5" s="46" t="s">
        <v>2</v>
      </c>
      <c r="D5" s="47" t="s">
        <v>556</v>
      </c>
      <c r="E5" s="30" t="s">
        <v>363</v>
      </c>
      <c r="F5" s="31">
        <v>2218</v>
      </c>
      <c r="G5" s="32"/>
      <c r="H5" s="32"/>
      <c r="I5" s="55" t="s">
        <v>243</v>
      </c>
      <c r="J5" s="58">
        <v>80</v>
      </c>
      <c r="K5" s="59" t="s">
        <v>2</v>
      </c>
      <c r="L5" s="60" t="s">
        <v>32</v>
      </c>
    </row>
    <row r="6" spans="1:18" ht="27" thickBot="1" x14ac:dyDescent="0.45">
      <c r="A6" s="13" t="s">
        <v>103</v>
      </c>
      <c r="B6" s="61">
        <v>80</v>
      </c>
      <c r="C6" s="78" t="s">
        <v>2</v>
      </c>
      <c r="D6" s="79" t="s">
        <v>6</v>
      </c>
      <c r="E6" s="53" t="s">
        <v>564</v>
      </c>
      <c r="F6" s="54">
        <f>5631-2218</f>
        <v>3413</v>
      </c>
      <c r="G6" s="20" t="s">
        <v>2</v>
      </c>
      <c r="H6" s="21" t="s">
        <v>2</v>
      </c>
      <c r="I6" s="55" t="s">
        <v>241</v>
      </c>
      <c r="J6" s="58">
        <v>200</v>
      </c>
      <c r="K6" s="59" t="s">
        <v>2</v>
      </c>
      <c r="L6" s="60" t="s">
        <v>242</v>
      </c>
    </row>
    <row r="7" spans="1:18" ht="27" thickBot="1" x14ac:dyDescent="0.45">
      <c r="A7" s="10" t="s">
        <v>388</v>
      </c>
      <c r="B7" s="45"/>
      <c r="C7" s="46">
        <f>B5+B6</f>
        <v>105</v>
      </c>
      <c r="D7" s="47"/>
      <c r="E7" s="100" t="s">
        <v>388</v>
      </c>
      <c r="F7" s="101"/>
      <c r="G7" s="102">
        <f>SUM(F5:F6)</f>
        <v>5631</v>
      </c>
      <c r="H7" s="103"/>
      <c r="I7" s="55" t="s">
        <v>247</v>
      </c>
      <c r="J7" s="58">
        <v>1525</v>
      </c>
      <c r="K7" s="59" t="s">
        <v>2</v>
      </c>
      <c r="L7" s="60" t="s">
        <v>18</v>
      </c>
    </row>
    <row r="8" spans="1:18" ht="27" thickBot="1" x14ac:dyDescent="0.45">
      <c r="A8" s="140" t="s">
        <v>458</v>
      </c>
      <c r="B8" s="141"/>
      <c r="C8" s="141"/>
      <c r="D8" s="142"/>
      <c r="E8" s="53" t="s">
        <v>238</v>
      </c>
      <c r="F8" s="54">
        <f>SUM(F5:F6)</f>
        <v>5631</v>
      </c>
      <c r="G8" s="20"/>
      <c r="H8" s="20"/>
      <c r="I8" s="55" t="s">
        <v>85</v>
      </c>
      <c r="J8" s="58">
        <v>20</v>
      </c>
      <c r="K8" s="59" t="s">
        <v>2</v>
      </c>
      <c r="L8" s="60" t="s">
        <v>552</v>
      </c>
    </row>
    <row r="9" spans="1:18" x14ac:dyDescent="0.4">
      <c r="A9" s="10" t="s">
        <v>175</v>
      </c>
      <c r="B9" s="45">
        <v>120</v>
      </c>
      <c r="C9" s="46" t="s">
        <v>49</v>
      </c>
      <c r="D9" s="47" t="s">
        <v>2</v>
      </c>
      <c r="I9" s="55" t="s">
        <v>246</v>
      </c>
      <c r="J9" s="58">
        <v>180</v>
      </c>
      <c r="K9" s="59" t="s">
        <v>2</v>
      </c>
      <c r="L9" s="60" t="s">
        <v>554</v>
      </c>
    </row>
    <row r="10" spans="1:18" x14ac:dyDescent="0.4">
      <c r="A10" s="10" t="s">
        <v>577</v>
      </c>
      <c r="B10" s="45">
        <v>320</v>
      </c>
      <c r="C10" s="46" t="s">
        <v>575</v>
      </c>
      <c r="D10" s="47" t="s">
        <v>2</v>
      </c>
      <c r="E10" s="1" t="s">
        <v>276</v>
      </c>
      <c r="F10" s="1">
        <f>B46+F8+J38</f>
        <v>35781</v>
      </c>
      <c r="I10" s="55" t="s">
        <v>244</v>
      </c>
      <c r="J10" s="58">
        <v>75</v>
      </c>
      <c r="K10" s="59" t="s">
        <v>2</v>
      </c>
      <c r="L10" s="60" t="s">
        <v>558</v>
      </c>
    </row>
    <row r="11" spans="1:18" ht="27" thickBot="1" x14ac:dyDescent="0.45">
      <c r="A11" s="10" t="s">
        <v>209</v>
      </c>
      <c r="B11" s="45">
        <v>130</v>
      </c>
      <c r="C11" s="46" t="s">
        <v>576</v>
      </c>
      <c r="D11" s="47" t="s">
        <v>2</v>
      </c>
      <c r="I11" s="56" t="s">
        <v>175</v>
      </c>
      <c r="J11" s="57">
        <v>1073</v>
      </c>
      <c r="K11" s="89" t="s">
        <v>2</v>
      </c>
      <c r="L11" s="90" t="s">
        <v>2</v>
      </c>
    </row>
    <row r="12" spans="1:18" x14ac:dyDescent="0.4">
      <c r="A12" s="10" t="s">
        <v>388</v>
      </c>
      <c r="B12" s="45"/>
      <c r="C12" s="46">
        <f>SUM(B9:B11)</f>
        <v>570</v>
      </c>
      <c r="D12" s="47">
        <f>C7+C12</f>
        <v>675</v>
      </c>
      <c r="I12" s="55" t="s">
        <v>388</v>
      </c>
      <c r="J12" s="58"/>
      <c r="K12" s="59">
        <f>SUM(J5:J11)</f>
        <v>3153</v>
      </c>
      <c r="L12" s="60"/>
    </row>
    <row r="13" spans="1:18" x14ac:dyDescent="0.4">
      <c r="A13" s="140" t="s">
        <v>459</v>
      </c>
      <c r="B13" s="141"/>
      <c r="C13" s="141"/>
      <c r="D13" s="142"/>
      <c r="I13" s="137" t="s">
        <v>463</v>
      </c>
      <c r="J13" s="138"/>
      <c r="K13" s="138"/>
      <c r="L13" s="139"/>
    </row>
    <row r="14" spans="1:18" x14ac:dyDescent="0.4">
      <c r="A14" s="10" t="s">
        <v>129</v>
      </c>
      <c r="B14" s="45">
        <v>100</v>
      </c>
      <c r="C14" s="46" t="s">
        <v>6</v>
      </c>
      <c r="D14" s="47" t="s">
        <v>552</v>
      </c>
      <c r="I14" s="55" t="s">
        <v>241</v>
      </c>
      <c r="J14" s="58">
        <v>400</v>
      </c>
      <c r="K14" s="59" t="s">
        <v>249</v>
      </c>
      <c r="L14" s="60" t="s">
        <v>242</v>
      </c>
    </row>
    <row r="15" spans="1:18" x14ac:dyDescent="0.4">
      <c r="A15" s="10" t="s">
        <v>150</v>
      </c>
      <c r="B15" s="45">
        <v>40</v>
      </c>
      <c r="C15" s="46" t="s">
        <v>6</v>
      </c>
      <c r="D15" s="47" t="s">
        <v>32</v>
      </c>
      <c r="I15" s="55" t="s">
        <v>85</v>
      </c>
      <c r="J15" s="58">
        <v>20</v>
      </c>
      <c r="K15" s="59" t="s">
        <v>249</v>
      </c>
      <c r="L15" s="60" t="s">
        <v>552</v>
      </c>
    </row>
    <row r="16" spans="1:18" x14ac:dyDescent="0.4">
      <c r="A16" s="10" t="s">
        <v>514</v>
      </c>
      <c r="B16" s="45">
        <f>210+20</f>
        <v>230</v>
      </c>
      <c r="C16" s="46" t="s">
        <v>6</v>
      </c>
      <c r="D16" s="47" t="s">
        <v>554</v>
      </c>
      <c r="I16" s="55" t="s">
        <v>516</v>
      </c>
      <c r="J16" s="58">
        <v>45</v>
      </c>
      <c r="K16" s="59" t="s">
        <v>249</v>
      </c>
      <c r="L16" s="60" t="s">
        <v>32</v>
      </c>
    </row>
    <row r="17" spans="1:12" x14ac:dyDescent="0.4">
      <c r="A17" s="10" t="s">
        <v>219</v>
      </c>
      <c r="B17" s="45">
        <v>50</v>
      </c>
      <c r="C17" s="46" t="s">
        <v>6</v>
      </c>
      <c r="D17" s="47" t="s">
        <v>558</v>
      </c>
      <c r="I17" s="55" t="s">
        <v>250</v>
      </c>
      <c r="J17" s="58">
        <v>60</v>
      </c>
      <c r="K17" s="59" t="s">
        <v>249</v>
      </c>
      <c r="L17" s="60" t="s">
        <v>554</v>
      </c>
    </row>
    <row r="18" spans="1:12" ht="27" thickBot="1" x14ac:dyDescent="0.45">
      <c r="A18" s="10" t="s">
        <v>360</v>
      </c>
      <c r="B18" s="45">
        <v>3837</v>
      </c>
      <c r="C18" s="46" t="s">
        <v>6</v>
      </c>
      <c r="D18" s="47" t="s">
        <v>2</v>
      </c>
      <c r="I18" s="56" t="s">
        <v>175</v>
      </c>
      <c r="J18" s="57">
        <v>683</v>
      </c>
      <c r="K18" s="89" t="s">
        <v>249</v>
      </c>
      <c r="L18" s="90" t="s">
        <v>2</v>
      </c>
    </row>
    <row r="19" spans="1:12" ht="27" thickBot="1" x14ac:dyDescent="0.45">
      <c r="A19" s="13" t="s">
        <v>265</v>
      </c>
      <c r="B19" s="61">
        <f>4873-3837</f>
        <v>1036</v>
      </c>
      <c r="C19" s="78" t="s">
        <v>6</v>
      </c>
      <c r="D19" s="79" t="s">
        <v>2</v>
      </c>
      <c r="I19" s="55" t="s">
        <v>388</v>
      </c>
      <c r="J19" s="58"/>
      <c r="K19" s="59">
        <f>SUM(J14:J18)</f>
        <v>1208</v>
      </c>
      <c r="L19" s="60">
        <f>K12+K19</f>
        <v>4361</v>
      </c>
    </row>
    <row r="20" spans="1:12" x14ac:dyDescent="0.4">
      <c r="A20" s="10" t="s">
        <v>388</v>
      </c>
      <c r="B20" s="45"/>
      <c r="C20" s="46">
        <f>SUM(B14:B19)</f>
        <v>5293</v>
      </c>
      <c r="D20" s="47">
        <f>D12+C20</f>
        <v>5968</v>
      </c>
      <c r="I20" s="137" t="s">
        <v>464</v>
      </c>
      <c r="J20" s="138"/>
      <c r="K20" s="138"/>
      <c r="L20" s="139"/>
    </row>
    <row r="21" spans="1:12" x14ac:dyDescent="0.4">
      <c r="A21" s="140" t="s">
        <v>524</v>
      </c>
      <c r="B21" s="141"/>
      <c r="C21" s="141"/>
      <c r="D21" s="142"/>
      <c r="I21" s="55" t="s">
        <v>241</v>
      </c>
      <c r="J21" s="58">
        <v>225</v>
      </c>
      <c r="K21" s="59" t="s">
        <v>254</v>
      </c>
      <c r="L21" s="60" t="s">
        <v>242</v>
      </c>
    </row>
    <row r="22" spans="1:12" x14ac:dyDescent="0.4">
      <c r="A22" s="48" t="s">
        <v>129</v>
      </c>
      <c r="B22" s="45">
        <v>20</v>
      </c>
      <c r="C22" s="46" t="s">
        <v>221</v>
      </c>
      <c r="D22" s="47" t="s">
        <v>552</v>
      </c>
      <c r="I22" s="55" t="s">
        <v>245</v>
      </c>
      <c r="J22" s="58">
        <v>50</v>
      </c>
      <c r="K22" s="59" t="s">
        <v>254</v>
      </c>
      <c r="L22" s="60" t="s">
        <v>18</v>
      </c>
    </row>
    <row r="23" spans="1:12" x14ac:dyDescent="0.4">
      <c r="A23" s="48" t="s">
        <v>222</v>
      </c>
      <c r="B23" s="45">
        <v>20</v>
      </c>
      <c r="C23" s="46" t="s">
        <v>221</v>
      </c>
      <c r="D23" s="47" t="s">
        <v>554</v>
      </c>
      <c r="I23" s="55" t="s">
        <v>256</v>
      </c>
      <c r="J23" s="58">
        <f>59871-59846</f>
        <v>25</v>
      </c>
      <c r="K23" s="59" t="s">
        <v>254</v>
      </c>
      <c r="L23" s="60" t="s">
        <v>557</v>
      </c>
    </row>
    <row r="24" spans="1:12" x14ac:dyDescent="0.4">
      <c r="A24" s="48" t="s">
        <v>37</v>
      </c>
      <c r="B24" s="45">
        <v>271</v>
      </c>
      <c r="C24" s="46" t="s">
        <v>221</v>
      </c>
      <c r="D24" s="47" t="s">
        <v>2</v>
      </c>
      <c r="I24" s="55" t="s">
        <v>129</v>
      </c>
      <c r="J24" s="58">
        <v>80</v>
      </c>
      <c r="K24" s="59" t="s">
        <v>254</v>
      </c>
      <c r="L24" s="60" t="s">
        <v>552</v>
      </c>
    </row>
    <row r="25" spans="1:12" x14ac:dyDescent="0.4">
      <c r="A25" s="48" t="s">
        <v>223</v>
      </c>
      <c r="B25" s="45">
        <v>11</v>
      </c>
      <c r="C25" s="46" t="s">
        <v>224</v>
      </c>
      <c r="D25" s="47" t="s">
        <v>2</v>
      </c>
      <c r="I25" s="55" t="s">
        <v>160</v>
      </c>
      <c r="J25" s="58">
        <v>20</v>
      </c>
      <c r="K25" s="59" t="s">
        <v>254</v>
      </c>
      <c r="L25" s="60" t="s">
        <v>553</v>
      </c>
    </row>
    <row r="26" spans="1:12" x14ac:dyDescent="0.4">
      <c r="A26" s="48" t="s">
        <v>227</v>
      </c>
      <c r="B26" s="45">
        <v>25</v>
      </c>
      <c r="C26" s="46" t="s">
        <v>225</v>
      </c>
      <c r="D26" s="47" t="s">
        <v>554</v>
      </c>
      <c r="I26" s="55" t="s">
        <v>566</v>
      </c>
      <c r="J26" s="58">
        <v>241</v>
      </c>
      <c r="K26" s="59" t="s">
        <v>254</v>
      </c>
      <c r="L26" s="60" t="s">
        <v>554</v>
      </c>
    </row>
    <row r="27" spans="1:12" ht="27" thickBot="1" x14ac:dyDescent="0.45">
      <c r="A27" s="80" t="s">
        <v>226</v>
      </c>
      <c r="B27" s="61">
        <v>630</v>
      </c>
      <c r="C27" s="78" t="s">
        <v>225</v>
      </c>
      <c r="D27" s="79" t="s">
        <v>2</v>
      </c>
      <c r="I27" s="55" t="s">
        <v>563</v>
      </c>
      <c r="J27" s="58">
        <v>1630</v>
      </c>
      <c r="K27" s="59" t="s">
        <v>254</v>
      </c>
      <c r="L27" s="60" t="s">
        <v>2</v>
      </c>
    </row>
    <row r="28" spans="1:12" x14ac:dyDescent="0.4">
      <c r="A28" s="48" t="s">
        <v>388</v>
      </c>
      <c r="B28" s="45"/>
      <c r="C28" s="46">
        <f>SUM(B22:B27)</f>
        <v>977</v>
      </c>
      <c r="D28" s="47">
        <f>D20+C28</f>
        <v>6945</v>
      </c>
      <c r="I28" s="55" t="s">
        <v>265</v>
      </c>
      <c r="J28" s="58">
        <f>8705-1630</f>
        <v>7075</v>
      </c>
      <c r="K28" s="59" t="s">
        <v>254</v>
      </c>
      <c r="L28" s="60" t="s">
        <v>2</v>
      </c>
    </row>
    <row r="29" spans="1:12" ht="27" thickBot="1" x14ac:dyDescent="0.45">
      <c r="A29" s="154" t="str">
        <f>_xlfn._LONGTEXT("---------------------------------------------------------------------------------------------------------------------------------------------------------------------------------------------------------------------------------------------------------------","-----------------------------------------")</f>
        <v>--------------------------------------------------------------------------------------------------------------------------------------------------------------------------------------------------------------------------------------------------------------------------------------------------------</v>
      </c>
      <c r="B29" s="155"/>
      <c r="C29" s="155"/>
      <c r="D29" s="156"/>
      <c r="I29" s="56" t="s">
        <v>508</v>
      </c>
      <c r="J29" s="57">
        <f>1500+615</f>
        <v>2115</v>
      </c>
      <c r="K29" s="89" t="s">
        <v>254</v>
      </c>
      <c r="L29" s="90" t="s">
        <v>501</v>
      </c>
    </row>
    <row r="30" spans="1:12" x14ac:dyDescent="0.4">
      <c r="A30" s="140" t="s">
        <v>469</v>
      </c>
      <c r="B30" s="141"/>
      <c r="C30" s="141"/>
      <c r="D30" s="142"/>
      <c r="I30" s="55" t="s">
        <v>388</v>
      </c>
      <c r="J30" s="58"/>
      <c r="K30" s="59">
        <f>SUM(J21:J29)</f>
        <v>11461</v>
      </c>
      <c r="L30" s="60">
        <f>L19+K30</f>
        <v>15822</v>
      </c>
    </row>
    <row r="31" spans="1:12" x14ac:dyDescent="0.4">
      <c r="A31" s="48" t="s">
        <v>270</v>
      </c>
      <c r="B31" s="45">
        <v>20</v>
      </c>
      <c r="C31" s="46" t="s">
        <v>526</v>
      </c>
      <c r="D31" s="47" t="s">
        <v>559</v>
      </c>
      <c r="I31" s="137" t="s">
        <v>468</v>
      </c>
      <c r="J31" s="138"/>
      <c r="K31" s="138"/>
      <c r="L31" s="139"/>
    </row>
    <row r="32" spans="1:12" ht="27" thickBot="1" x14ac:dyDescent="0.45">
      <c r="A32" s="80" t="s">
        <v>515</v>
      </c>
      <c r="B32" s="61">
        <f>1553+175</f>
        <v>1728</v>
      </c>
      <c r="C32" s="78" t="s">
        <v>526</v>
      </c>
      <c r="D32" s="79" t="s">
        <v>2</v>
      </c>
      <c r="I32" s="55" t="s">
        <v>129</v>
      </c>
      <c r="J32" s="58">
        <v>20</v>
      </c>
      <c r="K32" s="59" t="s">
        <v>550</v>
      </c>
      <c r="L32" s="60" t="s">
        <v>32</v>
      </c>
    </row>
    <row r="33" spans="1:12" ht="27" thickBot="1" x14ac:dyDescent="0.45">
      <c r="A33" s="48" t="s">
        <v>388</v>
      </c>
      <c r="B33" s="45"/>
      <c r="C33" s="46">
        <f>SUM(B31:B32)</f>
        <v>1748</v>
      </c>
      <c r="D33" s="47"/>
      <c r="I33" s="56" t="s">
        <v>255</v>
      </c>
      <c r="J33" s="57">
        <v>60</v>
      </c>
      <c r="K33" s="89" t="s">
        <v>550</v>
      </c>
      <c r="L33" s="90" t="s">
        <v>2</v>
      </c>
    </row>
    <row r="34" spans="1:12" x14ac:dyDescent="0.4">
      <c r="A34" s="140" t="s">
        <v>470</v>
      </c>
      <c r="B34" s="141"/>
      <c r="C34" s="141"/>
      <c r="D34" s="142"/>
      <c r="I34" s="55" t="s">
        <v>388</v>
      </c>
      <c r="J34" s="58"/>
      <c r="K34" s="59">
        <f>J32+J33</f>
        <v>80</v>
      </c>
      <c r="L34" s="60">
        <f>L30+K34</f>
        <v>15902</v>
      </c>
    </row>
    <row r="35" spans="1:12" ht="27" thickBot="1" x14ac:dyDescent="0.45">
      <c r="A35" s="80" t="s">
        <v>536</v>
      </c>
      <c r="B35" s="61">
        <v>40</v>
      </c>
      <c r="C35" s="78" t="s">
        <v>371</v>
      </c>
      <c r="D35" s="79" t="s">
        <v>559</v>
      </c>
      <c r="I35" s="137" t="s">
        <v>465</v>
      </c>
      <c r="J35" s="138"/>
      <c r="K35" s="138"/>
      <c r="L35" s="139"/>
    </row>
    <row r="36" spans="1:12" ht="27" thickBot="1" x14ac:dyDescent="0.45">
      <c r="A36" s="48" t="s">
        <v>388</v>
      </c>
      <c r="B36" s="45"/>
      <c r="C36" s="46">
        <f>B35</f>
        <v>40</v>
      </c>
      <c r="D36" s="47">
        <f>C33+C36</f>
        <v>1788</v>
      </c>
      <c r="I36" s="56" t="s">
        <v>266</v>
      </c>
      <c r="J36" s="57">
        <f>73352-68852</f>
        <v>4500</v>
      </c>
      <c r="K36" s="89" t="s">
        <v>262</v>
      </c>
      <c r="L36" s="90" t="s">
        <v>2</v>
      </c>
    </row>
    <row r="37" spans="1:12" ht="27" thickBot="1" x14ac:dyDescent="0.45">
      <c r="A37" s="140" t="s">
        <v>537</v>
      </c>
      <c r="B37" s="141"/>
      <c r="C37" s="141"/>
      <c r="D37" s="142"/>
      <c r="I37" s="25" t="s">
        <v>388</v>
      </c>
      <c r="J37" s="26"/>
      <c r="K37" s="26">
        <f>J36+L34</f>
        <v>20402</v>
      </c>
      <c r="L37" s="27"/>
    </row>
    <row r="38" spans="1:12" ht="27" thickBot="1" x14ac:dyDescent="0.45">
      <c r="A38" s="48" t="s">
        <v>265</v>
      </c>
      <c r="B38" s="45">
        <v>180</v>
      </c>
      <c r="C38" s="46" t="s">
        <v>530</v>
      </c>
      <c r="D38" s="47" t="s">
        <v>2</v>
      </c>
      <c r="I38" s="56" t="s">
        <v>239</v>
      </c>
      <c r="J38" s="57">
        <f>SUM(J5:J36)</f>
        <v>20402</v>
      </c>
      <c r="K38" s="26"/>
      <c r="L38" s="27"/>
    </row>
    <row r="39" spans="1:12" x14ac:dyDescent="0.4">
      <c r="A39" s="48" t="s">
        <v>536</v>
      </c>
      <c r="B39" s="45">
        <v>40</v>
      </c>
      <c r="C39" s="46" t="s">
        <v>530</v>
      </c>
      <c r="D39" s="47" t="s">
        <v>559</v>
      </c>
    </row>
    <row r="40" spans="1:12" ht="27" thickBot="1" x14ac:dyDescent="0.45">
      <c r="A40" s="13" t="s">
        <v>539</v>
      </c>
      <c r="B40" s="61">
        <v>200</v>
      </c>
      <c r="C40" s="78" t="s">
        <v>531</v>
      </c>
      <c r="D40" s="79" t="s">
        <v>2</v>
      </c>
    </row>
    <row r="41" spans="1:12" x14ac:dyDescent="0.4">
      <c r="A41" s="48" t="s">
        <v>388</v>
      </c>
      <c r="B41" s="45"/>
      <c r="C41" s="46">
        <f>SUM(B38:B40)</f>
        <v>420</v>
      </c>
      <c r="D41" s="47">
        <f>D36+C41</f>
        <v>2208</v>
      </c>
    </row>
    <row r="42" spans="1:12" x14ac:dyDescent="0.4">
      <c r="A42" s="140" t="s">
        <v>538</v>
      </c>
      <c r="B42" s="141"/>
      <c r="C42" s="141"/>
      <c r="D42" s="142"/>
    </row>
    <row r="43" spans="1:12" x14ac:dyDescent="0.4">
      <c r="A43" s="48" t="s">
        <v>175</v>
      </c>
      <c r="B43" s="45">
        <f>295+75</f>
        <v>370</v>
      </c>
      <c r="C43" s="46" t="s">
        <v>534</v>
      </c>
      <c r="D43" s="47" t="s">
        <v>2</v>
      </c>
    </row>
    <row r="44" spans="1:12" ht="27" thickBot="1" x14ac:dyDescent="0.45">
      <c r="A44" s="80" t="s">
        <v>474</v>
      </c>
      <c r="B44" s="61">
        <v>225</v>
      </c>
      <c r="C44" s="78" t="s">
        <v>535</v>
      </c>
      <c r="D44" s="79" t="s">
        <v>2</v>
      </c>
    </row>
    <row r="45" spans="1:12" ht="27" thickBot="1" x14ac:dyDescent="0.45">
      <c r="A45" s="81" t="s">
        <v>388</v>
      </c>
      <c r="B45" s="82"/>
      <c r="C45" s="77">
        <f>SUM(B43:B44)</f>
        <v>595</v>
      </c>
      <c r="D45" s="83">
        <f>D41+C45</f>
        <v>2803</v>
      </c>
    </row>
    <row r="46" spans="1:12" ht="27" thickBot="1" x14ac:dyDescent="0.45">
      <c r="A46" s="13" t="s">
        <v>208</v>
      </c>
      <c r="B46" s="14">
        <f>SUM(B5:B44)</f>
        <v>9748</v>
      </c>
      <c r="C46" s="14"/>
      <c r="D46" s="15"/>
    </row>
    <row r="52" spans="5:8" x14ac:dyDescent="0.4">
      <c r="E52" s="6"/>
      <c r="F52" s="6"/>
      <c r="G52" s="6"/>
      <c r="H52" s="6"/>
    </row>
    <row r="76" spans="1:12" x14ac:dyDescent="0.4">
      <c r="A76" s="6"/>
      <c r="B76" s="6"/>
      <c r="C76" s="6"/>
      <c r="D76" s="6"/>
    </row>
    <row r="77" spans="1:12" x14ac:dyDescent="0.4">
      <c r="I77" s="6"/>
      <c r="J77" s="6"/>
      <c r="K77" s="6"/>
      <c r="L77" s="6"/>
    </row>
    <row r="78" spans="1:12" x14ac:dyDescent="0.4">
      <c r="A78" s="1" t="s">
        <v>99</v>
      </c>
      <c r="B78" s="1">
        <f>SUM(B5:B76)</f>
        <v>19496</v>
      </c>
    </row>
    <row r="79" spans="1:12" x14ac:dyDescent="0.4">
      <c r="I79" s="1" t="s">
        <v>171</v>
      </c>
      <c r="J79" s="1">
        <f>SUM(J5:J60)</f>
        <v>40804</v>
      </c>
    </row>
    <row r="80" spans="1:12" x14ac:dyDescent="0.4">
      <c r="A80" s="1" t="s">
        <v>204</v>
      </c>
      <c r="B80" s="1">
        <f>B78+F54+J79</f>
        <v>60300</v>
      </c>
      <c r="C80" s="3"/>
      <c r="D80" s="3"/>
    </row>
    <row r="81" spans="1:4" x14ac:dyDescent="0.4">
      <c r="A81" s="1" t="s">
        <v>205</v>
      </c>
      <c r="B81" s="1">
        <f>'Dragon Kingdom'!F36+B80</f>
        <v>82247</v>
      </c>
    </row>
    <row r="84" spans="1:4" x14ac:dyDescent="0.4">
      <c r="A84" s="151"/>
      <c r="B84" s="151"/>
      <c r="C84" s="151"/>
      <c r="D84" s="151"/>
    </row>
    <row r="87" spans="1:4" x14ac:dyDescent="0.4">
      <c r="A87" s="151"/>
      <c r="B87" s="151"/>
      <c r="C87" s="151"/>
      <c r="D87" s="151"/>
    </row>
    <row r="90" spans="1:4" x14ac:dyDescent="0.4">
      <c r="A90" s="151"/>
      <c r="B90" s="151"/>
      <c r="C90" s="151"/>
      <c r="D90" s="151"/>
    </row>
  </sheetData>
  <sortState xmlns:xlrd2="http://schemas.microsoft.com/office/spreadsheetml/2017/richdata2" ref="I21:L29">
    <sortCondition ref="K21:K29"/>
    <sortCondition ref="L21:L29"/>
  </sortState>
  <mergeCells count="22">
    <mergeCell ref="A42:D42"/>
    <mergeCell ref="A84:D84"/>
    <mergeCell ref="A87:D87"/>
    <mergeCell ref="A90:D90"/>
    <mergeCell ref="A30:D30"/>
    <mergeCell ref="I31:L31"/>
    <mergeCell ref="A34:D34"/>
    <mergeCell ref="I35:L35"/>
    <mergeCell ref="A37:D37"/>
    <mergeCell ref="A29:D29"/>
    <mergeCell ref="A1:L1"/>
    <mergeCell ref="A2:D2"/>
    <mergeCell ref="E2:H2"/>
    <mergeCell ref="I2:L2"/>
    <mergeCell ref="A4:D4"/>
    <mergeCell ref="E4:H4"/>
    <mergeCell ref="I4:L4"/>
    <mergeCell ref="A8:D8"/>
    <mergeCell ref="A13:D13"/>
    <mergeCell ref="I13:L13"/>
    <mergeCell ref="I20:L20"/>
    <mergeCell ref="A21:D21"/>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13A48-D0E6-437E-885A-16D642B74C3D}">
  <dimension ref="A1:T75"/>
  <sheetViews>
    <sheetView topLeftCell="F1" zoomScale="55" zoomScaleNormal="55" workbookViewId="0">
      <selection activeCell="M8" sqref="M8"/>
    </sheetView>
  </sheetViews>
  <sheetFormatPr defaultRowHeight="26.25" x14ac:dyDescent="0.4"/>
  <cols>
    <col min="1" max="1" width="118.28515625" style="1" bestFit="1" customWidth="1"/>
    <col min="2" max="2" width="17.85546875" style="1" bestFit="1" customWidth="1"/>
    <col min="3" max="3" width="36" style="1" bestFit="1" customWidth="1"/>
    <col min="4" max="4" width="62.1406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62.140625" style="1" bestFit="1" customWidth="1"/>
    <col min="13" max="13" width="100.7109375" style="1" bestFit="1" customWidth="1"/>
    <col min="14" max="14" width="14.42578125" style="1" bestFit="1" customWidth="1"/>
    <col min="15" max="15" width="46.85546875" style="1" bestFit="1" customWidth="1"/>
    <col min="16" max="16" width="43.5703125" style="1" bestFit="1" customWidth="1"/>
    <col min="17" max="17" width="44.85546875" style="1" bestFit="1" customWidth="1"/>
    <col min="18" max="18" width="14.85546875" style="1" bestFit="1" customWidth="1"/>
    <col min="19" max="19" width="21" style="1" bestFit="1" customWidth="1"/>
    <col min="20" max="20" width="25.5703125" style="1" bestFit="1" customWidth="1"/>
    <col min="21" max="22" width="12" style="1" bestFit="1" customWidth="1"/>
    <col min="23" max="16384" width="9.140625" style="1"/>
  </cols>
  <sheetData>
    <row r="1" spans="1:20" ht="27" thickBot="1" x14ac:dyDescent="0.45">
      <c r="A1" s="119" t="str">
        <f>"Volcanic Isle (total " &amp; F28 &amp; ")"</f>
        <v>Volcanic Isle (total 49306)</v>
      </c>
      <c r="B1" s="120"/>
      <c r="C1" s="120"/>
      <c r="D1" s="120"/>
      <c r="E1" s="120"/>
      <c r="F1" s="120"/>
      <c r="G1" s="120"/>
      <c r="H1" s="120"/>
      <c r="I1" s="120"/>
      <c r="J1" s="120"/>
      <c r="K1" s="120"/>
      <c r="L1" s="120"/>
      <c r="M1" s="120"/>
      <c r="N1" s="120"/>
      <c r="O1" s="120"/>
      <c r="P1" s="120"/>
      <c r="Q1" s="120"/>
      <c r="R1" s="120"/>
      <c r="S1" s="120"/>
      <c r="T1" s="121"/>
    </row>
    <row r="2" spans="1:20" ht="27" thickBot="1" x14ac:dyDescent="0.45">
      <c r="A2" s="122" t="s">
        <v>277</v>
      </c>
      <c r="B2" s="123"/>
      <c r="C2" s="123"/>
      <c r="D2" s="124"/>
      <c r="E2" s="125" t="s">
        <v>291</v>
      </c>
      <c r="F2" s="126"/>
      <c r="G2" s="126"/>
      <c r="H2" s="127"/>
      <c r="I2" s="128" t="s">
        <v>323</v>
      </c>
      <c r="J2" s="129"/>
      <c r="K2" s="129"/>
      <c r="L2" s="130"/>
      <c r="M2" s="157" t="s">
        <v>327</v>
      </c>
      <c r="N2" s="158"/>
      <c r="O2" s="158"/>
      <c r="P2" s="159"/>
      <c r="Q2" s="122" t="s">
        <v>350</v>
      </c>
      <c r="R2" s="123"/>
      <c r="S2" s="123"/>
      <c r="T2" s="124"/>
    </row>
    <row r="3" spans="1:20" ht="27" thickBot="1" x14ac:dyDescent="0.45">
      <c r="A3" s="7" t="s">
        <v>0</v>
      </c>
      <c r="B3" s="8" t="s">
        <v>1</v>
      </c>
      <c r="C3" s="8" t="s">
        <v>19</v>
      </c>
      <c r="D3" s="9" t="s">
        <v>20</v>
      </c>
      <c r="E3" s="44" t="s">
        <v>0</v>
      </c>
      <c r="F3" s="28" t="s">
        <v>1</v>
      </c>
      <c r="G3" s="28" t="s">
        <v>19</v>
      </c>
      <c r="H3" s="29" t="s">
        <v>20</v>
      </c>
      <c r="I3" s="33" t="s">
        <v>0</v>
      </c>
      <c r="J3" s="34" t="s">
        <v>1</v>
      </c>
      <c r="K3" s="34" t="s">
        <v>19</v>
      </c>
      <c r="L3" s="35" t="s">
        <v>20</v>
      </c>
      <c r="M3" s="62" t="s">
        <v>0</v>
      </c>
      <c r="N3" s="63" t="s">
        <v>1</v>
      </c>
      <c r="O3" s="63" t="s">
        <v>19</v>
      </c>
      <c r="P3" s="64" t="s">
        <v>20</v>
      </c>
      <c r="Q3" s="7" t="s">
        <v>0</v>
      </c>
      <c r="R3" s="8" t="s">
        <v>1</v>
      </c>
      <c r="S3" s="8" t="s">
        <v>19</v>
      </c>
      <c r="T3" s="9" t="s">
        <v>20</v>
      </c>
    </row>
    <row r="4" spans="1:20" x14ac:dyDescent="0.4">
      <c r="A4" s="131" t="s">
        <v>476</v>
      </c>
      <c r="B4" s="132"/>
      <c r="C4" s="132"/>
      <c r="D4" s="133"/>
      <c r="E4" s="146" t="s">
        <v>479</v>
      </c>
      <c r="F4" s="147"/>
      <c r="G4" s="147"/>
      <c r="H4" s="147"/>
      <c r="I4" s="148" t="s">
        <v>492</v>
      </c>
      <c r="J4" s="149"/>
      <c r="K4" s="149"/>
      <c r="L4" s="149"/>
      <c r="M4" s="160" t="s">
        <v>486</v>
      </c>
      <c r="N4" s="161"/>
      <c r="O4" s="161"/>
      <c r="P4" s="162"/>
      <c r="Q4" s="131" t="s">
        <v>491</v>
      </c>
      <c r="R4" s="132"/>
      <c r="S4" s="132"/>
      <c r="T4" s="133"/>
    </row>
    <row r="5" spans="1:20" ht="27" thickBot="1" x14ac:dyDescent="0.45">
      <c r="A5" s="48" t="s">
        <v>243</v>
      </c>
      <c r="B5" s="45">
        <v>80</v>
      </c>
      <c r="C5" s="46" t="s">
        <v>2</v>
      </c>
      <c r="D5" s="47" t="s">
        <v>32</v>
      </c>
      <c r="E5" s="30" t="s">
        <v>293</v>
      </c>
      <c r="F5" s="31">
        <v>50</v>
      </c>
      <c r="G5" s="32" t="s">
        <v>2</v>
      </c>
      <c r="H5" s="32" t="s">
        <v>242</v>
      </c>
      <c r="I5" s="55" t="s">
        <v>313</v>
      </c>
      <c r="J5" s="58">
        <v>25</v>
      </c>
      <c r="K5" s="59" t="s">
        <v>32</v>
      </c>
      <c r="L5" s="59" t="s">
        <v>18</v>
      </c>
      <c r="M5" s="65" t="s">
        <v>265</v>
      </c>
      <c r="N5" s="66">
        <f>690+50</f>
        <v>740</v>
      </c>
      <c r="O5" s="67" t="s">
        <v>2</v>
      </c>
      <c r="P5" s="68" t="s">
        <v>2</v>
      </c>
      <c r="Q5" s="80" t="s">
        <v>265</v>
      </c>
      <c r="R5" s="61">
        <v>1083</v>
      </c>
      <c r="S5" s="78" t="s">
        <v>2</v>
      </c>
      <c r="T5" s="79" t="s">
        <v>2</v>
      </c>
    </row>
    <row r="6" spans="1:20" x14ac:dyDescent="0.4">
      <c r="A6" s="48" t="s">
        <v>29</v>
      </c>
      <c r="B6" s="45">
        <v>350</v>
      </c>
      <c r="C6" s="46" t="s">
        <v>2</v>
      </c>
      <c r="D6" s="47" t="s">
        <v>30</v>
      </c>
      <c r="E6" s="30" t="s">
        <v>294</v>
      </c>
      <c r="F6" s="31">
        <v>500</v>
      </c>
      <c r="G6" s="32" t="s">
        <v>2</v>
      </c>
      <c r="H6" s="32" t="s">
        <v>18</v>
      </c>
      <c r="I6" s="55" t="s">
        <v>318</v>
      </c>
      <c r="J6" s="58">
        <v>20</v>
      </c>
      <c r="K6" s="59" t="s">
        <v>32</v>
      </c>
      <c r="L6" s="59" t="s">
        <v>559</v>
      </c>
      <c r="M6" s="65" t="s">
        <v>330</v>
      </c>
      <c r="N6" s="66">
        <v>75</v>
      </c>
      <c r="O6" s="67" t="s">
        <v>2</v>
      </c>
      <c r="P6" s="68" t="s">
        <v>554</v>
      </c>
      <c r="Q6" s="48" t="s">
        <v>388</v>
      </c>
      <c r="R6" s="45"/>
      <c r="S6" s="46">
        <f>R5</f>
        <v>1083</v>
      </c>
      <c r="T6" s="47"/>
    </row>
    <row r="7" spans="1:20" x14ac:dyDescent="0.4">
      <c r="A7" s="48" t="s">
        <v>281</v>
      </c>
      <c r="B7" s="45">
        <v>30</v>
      </c>
      <c r="C7" s="46" t="s">
        <v>2</v>
      </c>
      <c r="D7" s="47" t="s">
        <v>6</v>
      </c>
      <c r="E7" s="30" t="s">
        <v>175</v>
      </c>
      <c r="F7" s="31">
        <v>572</v>
      </c>
      <c r="G7" s="32" t="s">
        <v>2</v>
      </c>
      <c r="H7" s="32" t="s">
        <v>2</v>
      </c>
      <c r="I7" s="55" t="s">
        <v>520</v>
      </c>
      <c r="J7" s="58">
        <v>200</v>
      </c>
      <c r="K7" s="59" t="s">
        <v>32</v>
      </c>
      <c r="L7" s="59" t="s">
        <v>2</v>
      </c>
      <c r="M7" s="65" t="s">
        <v>337</v>
      </c>
      <c r="N7" s="66">
        <v>60</v>
      </c>
      <c r="O7" s="67" t="s">
        <v>2</v>
      </c>
      <c r="P7" s="68" t="s">
        <v>522</v>
      </c>
      <c r="Q7" s="140" t="s">
        <v>494</v>
      </c>
      <c r="R7" s="141"/>
      <c r="S7" s="141"/>
      <c r="T7" s="142"/>
    </row>
    <row r="8" spans="1:20" ht="27" thickBot="1" x14ac:dyDescent="0.45">
      <c r="A8" s="48" t="s">
        <v>27</v>
      </c>
      <c r="B8" s="45">
        <v>300</v>
      </c>
      <c r="C8" s="46" t="s">
        <v>2</v>
      </c>
      <c r="D8" s="47" t="s">
        <v>28</v>
      </c>
      <c r="E8" s="53" t="s">
        <v>295</v>
      </c>
      <c r="F8" s="54">
        <v>1500</v>
      </c>
      <c r="G8" s="84" t="s">
        <v>2</v>
      </c>
      <c r="H8" s="85" t="s">
        <v>69</v>
      </c>
      <c r="I8" s="55" t="s">
        <v>519</v>
      </c>
      <c r="J8" s="58">
        <v>525</v>
      </c>
      <c r="K8" s="59" t="s">
        <v>18</v>
      </c>
      <c r="L8" s="59" t="s">
        <v>2</v>
      </c>
      <c r="M8" s="65" t="s">
        <v>332</v>
      </c>
      <c r="N8" s="66">
        <v>100</v>
      </c>
      <c r="O8" s="67" t="s">
        <v>32</v>
      </c>
      <c r="P8" s="68" t="s">
        <v>2</v>
      </c>
      <c r="Q8" s="48" t="s">
        <v>265</v>
      </c>
      <c r="R8" s="45">
        <v>680</v>
      </c>
      <c r="S8" s="46" t="s">
        <v>2</v>
      </c>
      <c r="T8" s="47" t="s">
        <v>2</v>
      </c>
    </row>
    <row r="9" spans="1:20" ht="27" thickBot="1" x14ac:dyDescent="0.45">
      <c r="A9" s="48" t="s">
        <v>241</v>
      </c>
      <c r="B9" s="45">
        <v>375</v>
      </c>
      <c r="C9" s="46" t="s">
        <v>2</v>
      </c>
      <c r="D9" s="47" t="s">
        <v>242</v>
      </c>
      <c r="E9" s="30" t="s">
        <v>388</v>
      </c>
      <c r="F9" s="31"/>
      <c r="G9" s="32">
        <f>SUM(F5:F8)</f>
        <v>2622</v>
      </c>
      <c r="H9" s="32"/>
      <c r="I9" s="55" t="s">
        <v>319</v>
      </c>
      <c r="J9" s="58">
        <v>40</v>
      </c>
      <c r="K9" s="59" t="s">
        <v>16</v>
      </c>
      <c r="L9" s="59" t="s">
        <v>2</v>
      </c>
      <c r="M9" s="97" t="s">
        <v>567</v>
      </c>
      <c r="N9" s="73">
        <v>150</v>
      </c>
      <c r="O9" s="98" t="s">
        <v>2</v>
      </c>
      <c r="P9" s="99" t="s">
        <v>242</v>
      </c>
      <c r="Q9" s="80" t="s">
        <v>354</v>
      </c>
      <c r="R9" s="61">
        <v>70</v>
      </c>
      <c r="S9" s="78" t="s">
        <v>18</v>
      </c>
      <c r="T9" s="79" t="s">
        <v>2</v>
      </c>
    </row>
    <row r="10" spans="1:20" x14ac:dyDescent="0.4">
      <c r="A10" s="48" t="s">
        <v>280</v>
      </c>
      <c r="B10" s="45">
        <v>1000</v>
      </c>
      <c r="C10" s="46" t="s">
        <v>2</v>
      </c>
      <c r="D10" s="47" t="s">
        <v>18</v>
      </c>
      <c r="E10" s="134" t="s">
        <v>525</v>
      </c>
      <c r="F10" s="135"/>
      <c r="G10" s="135"/>
      <c r="H10" s="135"/>
      <c r="I10" s="55" t="s">
        <v>269</v>
      </c>
      <c r="J10" s="58">
        <v>20</v>
      </c>
      <c r="K10" s="59" t="s">
        <v>214</v>
      </c>
      <c r="L10" s="59" t="s">
        <v>2</v>
      </c>
      <c r="M10" s="65" t="s">
        <v>388</v>
      </c>
      <c r="N10" s="66"/>
      <c r="O10" s="67">
        <f>SUM(N5:N9)</f>
        <v>1125</v>
      </c>
      <c r="P10" s="68"/>
      <c r="Q10" s="48" t="s">
        <v>388</v>
      </c>
      <c r="R10" s="45"/>
      <c r="S10" s="46">
        <f>R8+R9</f>
        <v>750</v>
      </c>
      <c r="T10" s="47">
        <f>S6+S10</f>
        <v>1833</v>
      </c>
    </row>
    <row r="11" spans="1:20" ht="27" thickBot="1" x14ac:dyDescent="0.45">
      <c r="A11" s="48" t="s">
        <v>85</v>
      </c>
      <c r="B11" s="45">
        <v>60</v>
      </c>
      <c r="C11" s="46" t="s">
        <v>2</v>
      </c>
      <c r="D11" s="47" t="s">
        <v>552</v>
      </c>
      <c r="E11" s="16" t="s">
        <v>301</v>
      </c>
      <c r="F11" s="31">
        <v>400</v>
      </c>
      <c r="G11" s="32" t="s">
        <v>296</v>
      </c>
      <c r="H11" s="32" t="s">
        <v>32</v>
      </c>
      <c r="I11" s="56" t="s">
        <v>175</v>
      </c>
      <c r="J11" s="57">
        <f>695+75</f>
        <v>770</v>
      </c>
      <c r="K11" s="89" t="s">
        <v>2</v>
      </c>
      <c r="L11" s="90" t="s">
        <v>2</v>
      </c>
      <c r="M11" s="163" t="s">
        <v>487</v>
      </c>
      <c r="N11" s="164"/>
      <c r="O11" s="164"/>
      <c r="P11" s="165"/>
      <c r="Q11" s="140" t="s">
        <v>495</v>
      </c>
      <c r="R11" s="141"/>
      <c r="S11" s="141"/>
      <c r="T11" s="142"/>
    </row>
    <row r="12" spans="1:20" ht="27" thickBot="1" x14ac:dyDescent="0.45">
      <c r="A12" s="48" t="s">
        <v>215</v>
      </c>
      <c r="B12" s="45">
        <v>140</v>
      </c>
      <c r="C12" s="46" t="s">
        <v>2</v>
      </c>
      <c r="D12" s="47" t="s">
        <v>554</v>
      </c>
      <c r="E12" s="16" t="s">
        <v>482</v>
      </c>
      <c r="F12" s="31">
        <v>25</v>
      </c>
      <c r="G12" s="32" t="s">
        <v>296</v>
      </c>
      <c r="H12" s="32" t="s">
        <v>18</v>
      </c>
      <c r="I12" s="55" t="s">
        <v>388</v>
      </c>
      <c r="J12" s="58"/>
      <c r="K12" s="59">
        <f>SUM(J5:J11)</f>
        <v>1600</v>
      </c>
      <c r="L12" s="59"/>
      <c r="M12" s="65" t="s">
        <v>523</v>
      </c>
      <c r="N12" s="66">
        <f>470+50</f>
        <v>520</v>
      </c>
      <c r="O12" s="67" t="s">
        <v>82</v>
      </c>
      <c r="P12" s="68" t="s">
        <v>242</v>
      </c>
      <c r="Q12" s="80" t="s">
        <v>265</v>
      </c>
      <c r="R12" s="61">
        <v>1119</v>
      </c>
      <c r="S12" s="78" t="s">
        <v>2</v>
      </c>
      <c r="T12" s="79" t="s">
        <v>2</v>
      </c>
    </row>
    <row r="13" spans="1:20" x14ac:dyDescent="0.4">
      <c r="A13" s="48" t="s">
        <v>25</v>
      </c>
      <c r="B13" s="45">
        <v>350</v>
      </c>
      <c r="C13" s="46" t="s">
        <v>2</v>
      </c>
      <c r="D13" s="47" t="s">
        <v>556</v>
      </c>
      <c r="E13" s="16" t="s">
        <v>302</v>
      </c>
      <c r="F13" s="31">
        <v>40</v>
      </c>
      <c r="G13" s="32" t="s">
        <v>296</v>
      </c>
      <c r="H13" s="32" t="s">
        <v>552</v>
      </c>
      <c r="I13" s="137" t="s">
        <v>485</v>
      </c>
      <c r="J13" s="138"/>
      <c r="K13" s="138"/>
      <c r="L13" s="138"/>
      <c r="M13" s="65" t="s">
        <v>330</v>
      </c>
      <c r="N13" s="66">
        <v>125</v>
      </c>
      <c r="O13" s="67" t="s">
        <v>82</v>
      </c>
      <c r="P13" s="68" t="s">
        <v>554</v>
      </c>
      <c r="Q13" s="48" t="s">
        <v>388</v>
      </c>
      <c r="R13" s="45"/>
      <c r="S13" s="46">
        <f>R12</f>
        <v>1119</v>
      </c>
      <c r="T13" s="47">
        <f>T10+S13</f>
        <v>2952</v>
      </c>
    </row>
    <row r="14" spans="1:20" ht="27" thickBot="1" x14ac:dyDescent="0.45">
      <c r="A14" s="48" t="s">
        <v>100</v>
      </c>
      <c r="B14" s="45">
        <v>263</v>
      </c>
      <c r="C14" s="46" t="s">
        <v>2</v>
      </c>
      <c r="D14" s="47" t="s">
        <v>2</v>
      </c>
      <c r="E14" s="16" t="s">
        <v>304</v>
      </c>
      <c r="F14" s="31">
        <v>20</v>
      </c>
      <c r="G14" s="32" t="s">
        <v>296</v>
      </c>
      <c r="H14" s="32" t="s">
        <v>554</v>
      </c>
      <c r="I14" s="56" t="s">
        <v>265</v>
      </c>
      <c r="J14" s="57">
        <v>447</v>
      </c>
      <c r="K14" s="89" t="s">
        <v>164</v>
      </c>
      <c r="L14" s="90" t="s">
        <v>2</v>
      </c>
      <c r="M14" s="97" t="s">
        <v>335</v>
      </c>
      <c r="N14" s="73">
        <v>350</v>
      </c>
      <c r="O14" s="98" t="s">
        <v>551</v>
      </c>
      <c r="P14" s="99" t="s">
        <v>32</v>
      </c>
      <c r="Q14" s="140" t="s">
        <v>496</v>
      </c>
      <c r="R14" s="141"/>
      <c r="S14" s="141"/>
      <c r="T14" s="142"/>
    </row>
    <row r="15" spans="1:20" ht="27" thickBot="1" x14ac:dyDescent="0.45">
      <c r="A15" s="80" t="s">
        <v>284</v>
      </c>
      <c r="B15" s="61">
        <v>100</v>
      </c>
      <c r="C15" s="78" t="s">
        <v>89</v>
      </c>
      <c r="D15" s="79" t="s">
        <v>32</v>
      </c>
      <c r="E15" s="16" t="s">
        <v>303</v>
      </c>
      <c r="F15" s="31">
        <v>20</v>
      </c>
      <c r="G15" s="32" t="s">
        <v>296</v>
      </c>
      <c r="H15" s="32" t="s">
        <v>553</v>
      </c>
      <c r="I15" s="55" t="s">
        <v>388</v>
      </c>
      <c r="J15" s="58"/>
      <c r="K15" s="59">
        <f>J14</f>
        <v>447</v>
      </c>
      <c r="L15" s="59">
        <f>K12+K15</f>
        <v>2047</v>
      </c>
      <c r="M15" s="65" t="s">
        <v>388</v>
      </c>
      <c r="N15" s="66"/>
      <c r="O15" s="67">
        <f>SUM(N12:N14)</f>
        <v>995</v>
      </c>
      <c r="P15" s="68">
        <f>O10+O15</f>
        <v>2120</v>
      </c>
      <c r="Q15" s="48" t="s">
        <v>265</v>
      </c>
      <c r="R15" s="45">
        <f>109265-108705</f>
        <v>560</v>
      </c>
      <c r="S15" s="46" t="s">
        <v>2</v>
      </c>
      <c r="T15" s="47" t="s">
        <v>2</v>
      </c>
    </row>
    <row r="16" spans="1:20" ht="27" thickBot="1" x14ac:dyDescent="0.45">
      <c r="A16" s="48" t="s">
        <v>388</v>
      </c>
      <c r="B16" s="45"/>
      <c r="C16" s="46">
        <f>SUM(B5:B15)</f>
        <v>3048</v>
      </c>
      <c r="D16" s="47"/>
      <c r="E16" s="16" t="s">
        <v>563</v>
      </c>
      <c r="F16" s="31">
        <v>886</v>
      </c>
      <c r="G16" s="32" t="s">
        <v>296</v>
      </c>
      <c r="H16" s="32" t="s">
        <v>2</v>
      </c>
      <c r="I16" s="137" t="s">
        <v>493</v>
      </c>
      <c r="J16" s="138"/>
      <c r="K16" s="138"/>
      <c r="L16" s="138"/>
      <c r="M16" s="163" t="s">
        <v>488</v>
      </c>
      <c r="N16" s="164"/>
      <c r="O16" s="164"/>
      <c r="P16" s="165"/>
      <c r="Q16" s="80" t="s">
        <v>357</v>
      </c>
      <c r="R16" s="14">
        <v>155</v>
      </c>
      <c r="S16" s="78" t="s">
        <v>358</v>
      </c>
      <c r="T16" s="79" t="s">
        <v>2</v>
      </c>
    </row>
    <row r="17" spans="1:20" ht="27" thickBot="1" x14ac:dyDescent="0.45">
      <c r="A17" s="140" t="s">
        <v>477</v>
      </c>
      <c r="B17" s="141"/>
      <c r="C17" s="141"/>
      <c r="D17" s="142"/>
      <c r="E17" s="19" t="s">
        <v>265</v>
      </c>
      <c r="F17" s="54">
        <f>2615-886</f>
        <v>1729</v>
      </c>
      <c r="G17" s="84" t="s">
        <v>296</v>
      </c>
      <c r="H17" s="85" t="s">
        <v>2</v>
      </c>
      <c r="I17" s="55" t="s">
        <v>270</v>
      </c>
      <c r="J17" s="58">
        <v>40</v>
      </c>
      <c r="K17" s="59" t="s">
        <v>164</v>
      </c>
      <c r="L17" s="59" t="s">
        <v>552</v>
      </c>
      <c r="M17" s="65" t="s">
        <v>334</v>
      </c>
      <c r="N17" s="66">
        <v>20</v>
      </c>
      <c r="O17" s="67" t="s">
        <v>32</v>
      </c>
      <c r="P17" s="68" t="s">
        <v>568</v>
      </c>
      <c r="Q17" s="48" t="s">
        <v>388</v>
      </c>
      <c r="R17" s="11"/>
      <c r="S17" s="46">
        <f>R15+R16</f>
        <v>715</v>
      </c>
      <c r="T17" s="47">
        <f>T13+S17</f>
        <v>3667</v>
      </c>
    </row>
    <row r="18" spans="1:20" x14ac:dyDescent="0.4">
      <c r="A18" s="10" t="s">
        <v>288</v>
      </c>
      <c r="B18" s="45">
        <v>20</v>
      </c>
      <c r="C18" s="46" t="s">
        <v>6</v>
      </c>
      <c r="D18" s="47" t="s">
        <v>32</v>
      </c>
      <c r="E18" s="16" t="s">
        <v>388</v>
      </c>
      <c r="F18" s="31"/>
      <c r="G18" s="32">
        <f>SUM(F11:F17)</f>
        <v>3120</v>
      </c>
      <c r="H18" s="32">
        <f>G9+G18</f>
        <v>5742</v>
      </c>
      <c r="I18" s="55" t="s">
        <v>269</v>
      </c>
      <c r="J18" s="58">
        <v>60</v>
      </c>
      <c r="K18" s="59" t="s">
        <v>164</v>
      </c>
      <c r="L18" s="59" t="s">
        <v>554</v>
      </c>
      <c r="M18" s="65" t="s">
        <v>341</v>
      </c>
      <c r="N18" s="66">
        <v>1500</v>
      </c>
      <c r="O18" s="67" t="s">
        <v>32</v>
      </c>
      <c r="P18" s="68" t="s">
        <v>18</v>
      </c>
      <c r="Q18" s="140" t="s">
        <v>497</v>
      </c>
      <c r="R18" s="141"/>
      <c r="S18" s="141"/>
      <c r="T18" s="142"/>
    </row>
    <row r="19" spans="1:20" ht="27" thickBot="1" x14ac:dyDescent="0.45">
      <c r="A19" s="10" t="s">
        <v>505</v>
      </c>
      <c r="B19" s="45">
        <v>2500</v>
      </c>
      <c r="C19" s="46" t="s">
        <v>6</v>
      </c>
      <c r="D19" s="47" t="s">
        <v>18</v>
      </c>
      <c r="E19" s="134" t="s">
        <v>484</v>
      </c>
      <c r="F19" s="135"/>
      <c r="G19" s="135"/>
      <c r="H19" s="135"/>
      <c r="I19" s="55" t="s">
        <v>363</v>
      </c>
      <c r="J19" s="58">
        <v>2392</v>
      </c>
      <c r="K19" s="59" t="s">
        <v>164</v>
      </c>
      <c r="L19" s="59" t="s">
        <v>2</v>
      </c>
      <c r="M19" s="65" t="s">
        <v>175</v>
      </c>
      <c r="N19" s="66">
        <v>550</v>
      </c>
      <c r="O19" s="67" t="s">
        <v>32</v>
      </c>
      <c r="P19" s="68" t="s">
        <v>2</v>
      </c>
      <c r="Q19" s="80" t="s">
        <v>265</v>
      </c>
      <c r="R19" s="61">
        <v>140</v>
      </c>
      <c r="S19" s="78"/>
      <c r="T19" s="79" t="s">
        <v>2</v>
      </c>
    </row>
    <row r="20" spans="1:20" ht="27" thickBot="1" x14ac:dyDescent="0.45">
      <c r="A20" s="10" t="s">
        <v>85</v>
      </c>
      <c r="B20" s="45">
        <v>20</v>
      </c>
      <c r="C20" s="46" t="s">
        <v>6</v>
      </c>
      <c r="D20" s="47" t="s">
        <v>552</v>
      </c>
      <c r="E20" s="30" t="s">
        <v>518</v>
      </c>
      <c r="F20" s="31">
        <f>890+40</f>
        <v>930</v>
      </c>
      <c r="G20" s="32" t="s">
        <v>308</v>
      </c>
      <c r="H20" s="32" t="s">
        <v>32</v>
      </c>
      <c r="I20" s="55" t="s">
        <v>265</v>
      </c>
      <c r="J20" s="58">
        <f>3490-2392</f>
        <v>1098</v>
      </c>
      <c r="K20" s="59" t="s">
        <v>164</v>
      </c>
      <c r="L20" s="59" t="s">
        <v>2</v>
      </c>
      <c r="M20" s="97" t="s">
        <v>342</v>
      </c>
      <c r="N20" s="73">
        <v>70</v>
      </c>
      <c r="O20" s="98" t="s">
        <v>343</v>
      </c>
      <c r="P20" s="99" t="s">
        <v>2</v>
      </c>
      <c r="Q20" s="76" t="s">
        <v>388</v>
      </c>
      <c r="R20" s="91"/>
      <c r="S20" s="91">
        <f>R19</f>
        <v>140</v>
      </c>
      <c r="T20" s="92">
        <f>T17+S20</f>
        <v>3807</v>
      </c>
    </row>
    <row r="21" spans="1:20" ht="27" thickBot="1" x14ac:dyDescent="0.45">
      <c r="A21" s="10" t="s">
        <v>517</v>
      </c>
      <c r="B21" s="45">
        <v>40</v>
      </c>
      <c r="C21" s="46" t="s">
        <v>6</v>
      </c>
      <c r="D21" s="47" t="s">
        <v>554</v>
      </c>
      <c r="E21" s="30" t="s">
        <v>270</v>
      </c>
      <c r="F21" s="31">
        <v>60</v>
      </c>
      <c r="G21" s="32" t="s">
        <v>308</v>
      </c>
      <c r="H21" s="32" t="s">
        <v>552</v>
      </c>
      <c r="I21" s="55" t="s">
        <v>521</v>
      </c>
      <c r="J21" s="58">
        <f>336+60</f>
        <v>396</v>
      </c>
      <c r="K21" s="59" t="s">
        <v>164</v>
      </c>
      <c r="L21" s="59" t="s">
        <v>32</v>
      </c>
      <c r="M21" s="65" t="s">
        <v>388</v>
      </c>
      <c r="N21" s="66"/>
      <c r="O21" s="67">
        <f>SUM(N17:N20)</f>
        <v>2140</v>
      </c>
      <c r="P21" s="68">
        <f>P15+O21</f>
        <v>4260</v>
      </c>
      <c r="Q21" s="13" t="s">
        <v>351</v>
      </c>
      <c r="R21" s="61">
        <f>SUM(R5:R19)</f>
        <v>3807</v>
      </c>
      <c r="S21" s="14"/>
      <c r="T21" s="15"/>
    </row>
    <row r="22" spans="1:20" ht="27" thickBot="1" x14ac:dyDescent="0.45">
      <c r="A22" s="13" t="s">
        <v>175</v>
      </c>
      <c r="B22" s="61">
        <f>1334+80</f>
        <v>1414</v>
      </c>
      <c r="C22" s="78" t="s">
        <v>6</v>
      </c>
      <c r="D22" s="79" t="s">
        <v>2</v>
      </c>
      <c r="E22" s="30" t="s">
        <v>269</v>
      </c>
      <c r="F22" s="31">
        <v>260</v>
      </c>
      <c r="G22" s="32" t="s">
        <v>308</v>
      </c>
      <c r="H22" s="32" t="s">
        <v>554</v>
      </c>
      <c r="I22" s="104" t="s">
        <v>388</v>
      </c>
      <c r="J22" s="96"/>
      <c r="K22" s="105">
        <f>SUM(J17:J21)</f>
        <v>3986</v>
      </c>
      <c r="L22" s="106">
        <f>L15+K22</f>
        <v>6033</v>
      </c>
      <c r="M22" s="163" t="s">
        <v>489</v>
      </c>
      <c r="N22" s="164"/>
      <c r="O22" s="164"/>
      <c r="P22" s="165"/>
    </row>
    <row r="23" spans="1:20" ht="27" thickBot="1" x14ac:dyDescent="0.45">
      <c r="A23" s="10" t="s">
        <v>388</v>
      </c>
      <c r="B23" s="45"/>
      <c r="C23" s="46">
        <f>SUM(B18:B22)</f>
        <v>3994</v>
      </c>
      <c r="D23" s="47">
        <f>C16+C23</f>
        <v>7042</v>
      </c>
      <c r="E23" s="30" t="s">
        <v>307</v>
      </c>
      <c r="F23" s="31">
        <v>25</v>
      </c>
      <c r="G23" s="32" t="s">
        <v>308</v>
      </c>
      <c r="H23" s="32" t="s">
        <v>553</v>
      </c>
      <c r="I23" s="25" t="s">
        <v>321</v>
      </c>
      <c r="J23" s="57">
        <f>SUM(J5:J21)</f>
        <v>6033</v>
      </c>
      <c r="K23" s="26"/>
      <c r="L23" s="26"/>
      <c r="M23" s="65" t="s">
        <v>360</v>
      </c>
      <c r="N23" s="66">
        <v>12220</v>
      </c>
      <c r="O23" s="67" t="s">
        <v>344</v>
      </c>
      <c r="P23" s="68" t="s">
        <v>2</v>
      </c>
    </row>
    <row r="24" spans="1:20" ht="27" thickBot="1" x14ac:dyDescent="0.45">
      <c r="A24" s="140" t="s">
        <v>478</v>
      </c>
      <c r="B24" s="141"/>
      <c r="C24" s="141"/>
      <c r="D24" s="142"/>
      <c r="E24" s="53" t="s">
        <v>265</v>
      </c>
      <c r="F24" s="54">
        <f>5131+25</f>
        <v>5156</v>
      </c>
      <c r="G24" s="84" t="s">
        <v>308</v>
      </c>
      <c r="H24" s="85" t="s">
        <v>2</v>
      </c>
      <c r="M24" s="97" t="s">
        <v>265</v>
      </c>
      <c r="N24" s="73">
        <f>13460-12220</f>
        <v>1240</v>
      </c>
      <c r="O24" s="98" t="s">
        <v>344</v>
      </c>
      <c r="P24" s="99" t="s">
        <v>2</v>
      </c>
    </row>
    <row r="25" spans="1:20" ht="27" thickBot="1" x14ac:dyDescent="0.45">
      <c r="A25" s="10" t="s">
        <v>289</v>
      </c>
      <c r="B25" s="45">
        <v>40</v>
      </c>
      <c r="C25" s="46" t="s">
        <v>225</v>
      </c>
      <c r="D25" s="47" t="s">
        <v>554</v>
      </c>
      <c r="E25" s="86" t="s">
        <v>388</v>
      </c>
      <c r="F25" s="87"/>
      <c r="G25" s="87">
        <f>SUM(F20:F24)</f>
        <v>6431</v>
      </c>
      <c r="H25" s="88">
        <f>H18+G25</f>
        <v>12173</v>
      </c>
      <c r="M25" s="65" t="s">
        <v>388</v>
      </c>
      <c r="N25" s="66"/>
      <c r="O25" s="67">
        <f>N23+N24</f>
        <v>13460</v>
      </c>
      <c r="P25" s="68">
        <f>P21+O25</f>
        <v>17720</v>
      </c>
    </row>
    <row r="26" spans="1:20" ht="27" thickBot="1" x14ac:dyDescent="0.45">
      <c r="A26" s="13" t="s">
        <v>175</v>
      </c>
      <c r="B26" s="61">
        <v>60</v>
      </c>
      <c r="C26" s="78" t="s">
        <v>225</v>
      </c>
      <c r="D26" s="79" t="s">
        <v>2</v>
      </c>
      <c r="E26" s="19" t="s">
        <v>292</v>
      </c>
      <c r="F26" s="54">
        <f>SUM(F5:F24)</f>
        <v>12173</v>
      </c>
      <c r="G26" s="20"/>
      <c r="H26" s="20"/>
      <c r="M26" s="163" t="s">
        <v>490</v>
      </c>
      <c r="N26" s="164"/>
      <c r="O26" s="164"/>
      <c r="P26" s="165"/>
    </row>
    <row r="27" spans="1:20" ht="27" thickBot="1" x14ac:dyDescent="0.45">
      <c r="A27" s="76" t="s">
        <v>388</v>
      </c>
      <c r="B27" s="91"/>
      <c r="C27" s="91">
        <f>B25+B26</f>
        <v>100</v>
      </c>
      <c r="D27" s="92">
        <f>D23+C27</f>
        <v>7142</v>
      </c>
      <c r="M27" s="65" t="s">
        <v>265</v>
      </c>
      <c r="N27" s="66">
        <f>795+136</f>
        <v>931</v>
      </c>
      <c r="O27" s="67" t="s">
        <v>345</v>
      </c>
      <c r="P27" s="68" t="s">
        <v>2</v>
      </c>
    </row>
    <row r="28" spans="1:20" ht="27" thickBot="1" x14ac:dyDescent="0.45">
      <c r="A28" s="13" t="s">
        <v>279</v>
      </c>
      <c r="B28" s="61">
        <f>SUM(B5:B26)</f>
        <v>7142</v>
      </c>
      <c r="C28" s="14"/>
      <c r="D28" s="15"/>
      <c r="E28" s="1" t="s">
        <v>368</v>
      </c>
      <c r="F28" s="1">
        <f>B28+F26+J23+N30+R21</f>
        <v>49306</v>
      </c>
      <c r="H28" s="4"/>
      <c r="M28" s="97" t="s">
        <v>348</v>
      </c>
      <c r="N28" s="73">
        <v>1500</v>
      </c>
      <c r="O28" s="98" t="s">
        <v>345</v>
      </c>
      <c r="P28" s="99" t="s">
        <v>18</v>
      </c>
    </row>
    <row r="29" spans="1:20" ht="27" thickBot="1" x14ac:dyDescent="0.45">
      <c r="M29" s="107" t="s">
        <v>388</v>
      </c>
      <c r="N29" s="108"/>
      <c r="O29" s="109">
        <f>N27+N28</f>
        <v>2431</v>
      </c>
      <c r="P29" s="110">
        <f>P25+O29</f>
        <v>20151</v>
      </c>
    </row>
    <row r="30" spans="1:20" ht="27" thickBot="1" x14ac:dyDescent="0.45">
      <c r="E30" s="1" t="s">
        <v>570</v>
      </c>
      <c r="F30" s="1">
        <f>'Lost Cities CONDENSING'!B43+'Icy Wilderness CONDENSING'!B18+'Volcanic Isle CONDENSING'!N23+'Dragon Kingdom CONDENSING'!F12</f>
        <v>20028</v>
      </c>
      <c r="M30" s="72" t="s">
        <v>328</v>
      </c>
      <c r="N30" s="73">
        <f>SUM(N5:N28)</f>
        <v>20151</v>
      </c>
      <c r="O30" s="74"/>
      <c r="P30" s="75"/>
    </row>
    <row r="31" spans="1:20" x14ac:dyDescent="0.4">
      <c r="E31" s="4" t="s">
        <v>571</v>
      </c>
      <c r="F31" s="5">
        <f>'Dragon Kingdom CONDENSING'!J11+'Lost Cities CONDENSING'!J12+'Icy Wilderness CONDENSING'!F5+'Volcanic Isle CONDENSING'!J19</f>
        <v>8281</v>
      </c>
      <c r="G31" s="4"/>
    </row>
    <row r="32" spans="1:20" x14ac:dyDescent="0.4">
      <c r="E32" s="1" t="s">
        <v>569</v>
      </c>
      <c r="F32" s="1">
        <f>'Dragon Kingdom CONDENSING'!B15+'Lost Cities CONDENSING'!F21+'Icy Wilderness CONDENSING'!J27+'Volcanic Isle CONDENSING'!F16</f>
        <v>3671</v>
      </c>
    </row>
    <row r="34" spans="5:6" x14ac:dyDescent="0.4">
      <c r="E34" s="1" t="s">
        <v>572</v>
      </c>
      <c r="F34" s="1">
        <f>SUM(F30:F32)</f>
        <v>31980</v>
      </c>
    </row>
    <row r="35" spans="5:6" x14ac:dyDescent="0.4">
      <c r="E35" s="1" t="s">
        <v>573</v>
      </c>
      <c r="F35" s="1">
        <f>('Dragon Kingdom CONDENSING'!F23+'Lost Cities CONDENSING'!F30+'Icy Wilderness CONDENSING'!F10+'Volcanic Isle CONDENSING'!F28) - F34</f>
        <v>110477</v>
      </c>
    </row>
    <row r="36" spans="5:6" x14ac:dyDescent="0.4">
      <c r="E36" s="1" t="s">
        <v>574</v>
      </c>
      <c r="F36" s="1">
        <f>F37-F30</f>
        <v>122429</v>
      </c>
    </row>
    <row r="37" spans="5:6" x14ac:dyDescent="0.4">
      <c r="E37" s="1" t="s">
        <v>205</v>
      </c>
      <c r="F37" s="1">
        <f>F34+F35</f>
        <v>142457</v>
      </c>
    </row>
    <row r="42" spans="5:6" x14ac:dyDescent="0.4">
      <c r="E42" s="1" t="s">
        <v>205</v>
      </c>
    </row>
    <row r="65" spans="1:4" x14ac:dyDescent="0.4">
      <c r="C65" s="3"/>
      <c r="D65" s="3"/>
    </row>
    <row r="69" spans="1:4" x14ac:dyDescent="0.4">
      <c r="A69" s="151"/>
      <c r="B69" s="151"/>
      <c r="C69" s="151"/>
      <c r="D69" s="151"/>
    </row>
    <row r="72" spans="1:4" x14ac:dyDescent="0.4">
      <c r="A72" s="151"/>
      <c r="B72" s="151"/>
      <c r="C72" s="151"/>
      <c r="D72" s="151"/>
    </row>
    <row r="75" spans="1:4" x14ac:dyDescent="0.4">
      <c r="A75" s="151"/>
      <c r="B75" s="151"/>
      <c r="C75" s="151"/>
      <c r="D75" s="151"/>
    </row>
  </sheetData>
  <sortState xmlns:xlrd2="http://schemas.microsoft.com/office/spreadsheetml/2017/richdata2" ref="M17:P20">
    <sortCondition ref="O17:O20"/>
    <sortCondition ref="P17:P20"/>
  </sortState>
  <mergeCells count="28">
    <mergeCell ref="M26:P26"/>
    <mergeCell ref="A69:D69"/>
    <mergeCell ref="A72:D72"/>
    <mergeCell ref="A75:D75"/>
    <mergeCell ref="M16:P16"/>
    <mergeCell ref="Q18:T18"/>
    <mergeCell ref="I16:L16"/>
    <mergeCell ref="E19:H19"/>
    <mergeCell ref="M22:P22"/>
    <mergeCell ref="A24:D24"/>
    <mergeCell ref="A17:D17"/>
    <mergeCell ref="E10:H10"/>
    <mergeCell ref="Q11:T11"/>
    <mergeCell ref="M11:P11"/>
    <mergeCell ref="Q14:T14"/>
    <mergeCell ref="I13:L13"/>
    <mergeCell ref="Q7:T7"/>
    <mergeCell ref="A1:T1"/>
    <mergeCell ref="A2:D2"/>
    <mergeCell ref="E2:H2"/>
    <mergeCell ref="I2:L2"/>
    <mergeCell ref="M2:P2"/>
    <mergeCell ref="Q2:T2"/>
    <mergeCell ref="A4:D4"/>
    <mergeCell ref="E4:H4"/>
    <mergeCell ref="I4:L4"/>
    <mergeCell ref="M4:P4"/>
    <mergeCell ref="Q4:T4"/>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C4B37-2DB3-43DF-8181-AC6F6C103284}">
  <dimension ref="A1:R37"/>
  <sheetViews>
    <sheetView topLeftCell="D1" zoomScale="76" zoomScaleNormal="60" workbookViewId="0">
      <selection activeCell="L8" sqref="L8"/>
    </sheetView>
  </sheetViews>
  <sheetFormatPr defaultRowHeight="26.25" x14ac:dyDescent="0.4"/>
  <cols>
    <col min="1" max="1" width="94.28515625" style="1" bestFit="1" customWidth="1"/>
    <col min="2" max="2" width="14.42578125" style="1" bestFit="1" customWidth="1"/>
    <col min="3" max="3" width="21.140625" style="1" bestFit="1" customWidth="1"/>
    <col min="4" max="4" width="43.5703125" style="1" bestFit="1" customWidth="1"/>
    <col min="5" max="5" width="94.28515625" style="1" customWidth="1"/>
    <col min="6" max="6" width="14.5703125" style="1" bestFit="1" customWidth="1"/>
    <col min="7" max="7" width="45.5703125" style="1" customWidth="1"/>
    <col min="8" max="8" width="43.5703125" style="1" bestFit="1" customWidth="1"/>
    <col min="9" max="9" width="86.85546875" style="1" bestFit="1" customWidth="1"/>
    <col min="10" max="10" width="14.5703125" style="1" bestFit="1" customWidth="1"/>
    <col min="11" max="11" width="21.5703125" style="1" bestFit="1" customWidth="1"/>
    <col min="12" max="12" width="43.5703125" style="1" bestFit="1" customWidth="1"/>
    <col min="13" max="13" width="11.5703125" style="1" bestFit="1" customWidth="1"/>
    <col min="14" max="16384" width="9.140625" style="1"/>
  </cols>
  <sheetData>
    <row r="1" spans="1:18" ht="27" thickBot="1" x14ac:dyDescent="0.45">
      <c r="A1" s="119" t="str">
        <f>"Dragon Kingdom (total " &amp; F32 &amp; ")"</f>
        <v>Dragon Kingdom (total 22722)</v>
      </c>
      <c r="B1" s="120"/>
      <c r="C1" s="120"/>
      <c r="D1" s="120"/>
      <c r="E1" s="120"/>
      <c r="F1" s="120"/>
      <c r="G1" s="120"/>
      <c r="H1" s="120"/>
      <c r="I1" s="120"/>
      <c r="J1" s="120"/>
      <c r="K1" s="120"/>
      <c r="L1" s="121"/>
      <c r="N1" s="2"/>
      <c r="P1" s="2"/>
      <c r="R1" s="2"/>
    </row>
    <row r="2" spans="1:18" ht="27" thickBot="1" x14ac:dyDescent="0.45">
      <c r="A2" s="122" t="s">
        <v>375</v>
      </c>
      <c r="B2" s="123"/>
      <c r="C2" s="123"/>
      <c r="D2" s="124"/>
      <c r="E2" s="125" t="s">
        <v>392</v>
      </c>
      <c r="F2" s="126"/>
      <c r="G2" s="126"/>
      <c r="H2" s="127"/>
      <c r="I2" s="128" t="s">
        <v>376</v>
      </c>
      <c r="J2" s="129"/>
      <c r="K2" s="129"/>
      <c r="L2" s="130"/>
    </row>
    <row r="3" spans="1:18" ht="27" thickBot="1" x14ac:dyDescent="0.45">
      <c r="A3" s="7" t="s">
        <v>0</v>
      </c>
      <c r="B3" s="8" t="s">
        <v>1</v>
      </c>
      <c r="C3" s="8" t="s">
        <v>19</v>
      </c>
      <c r="D3" s="9" t="s">
        <v>20</v>
      </c>
      <c r="E3" s="44" t="s">
        <v>0</v>
      </c>
      <c r="F3" s="28" t="s">
        <v>1</v>
      </c>
      <c r="G3" s="28" t="s">
        <v>19</v>
      </c>
      <c r="H3" s="29" t="s">
        <v>20</v>
      </c>
      <c r="I3" s="33" t="s">
        <v>0</v>
      </c>
      <c r="J3" s="34" t="s">
        <v>1</v>
      </c>
      <c r="K3" s="34" t="s">
        <v>19</v>
      </c>
      <c r="L3" s="35" t="s">
        <v>20</v>
      </c>
    </row>
    <row r="4" spans="1:18" x14ac:dyDescent="0.4">
      <c r="A4" s="131" t="s">
        <v>435</v>
      </c>
      <c r="B4" s="132"/>
      <c r="C4" s="132"/>
      <c r="D4" s="133"/>
      <c r="E4" s="134" t="s">
        <v>433</v>
      </c>
      <c r="F4" s="135"/>
      <c r="G4" s="135"/>
      <c r="H4" s="136"/>
      <c r="I4" s="137" t="s">
        <v>439</v>
      </c>
      <c r="J4" s="138"/>
      <c r="K4" s="138"/>
      <c r="L4" s="139"/>
    </row>
    <row r="5" spans="1:18" x14ac:dyDescent="0.4">
      <c r="A5" s="10" t="s">
        <v>24</v>
      </c>
      <c r="B5" s="11">
        <v>336</v>
      </c>
      <c r="C5" s="11" t="s">
        <v>2</v>
      </c>
      <c r="D5" s="12" t="s">
        <v>3</v>
      </c>
      <c r="E5" s="16" t="s">
        <v>43</v>
      </c>
      <c r="F5" s="17">
        <v>873</v>
      </c>
      <c r="G5" s="17" t="s">
        <v>2</v>
      </c>
      <c r="H5" s="18" t="s">
        <v>2</v>
      </c>
      <c r="I5" s="22" t="s">
        <v>72</v>
      </c>
      <c r="J5" s="23">
        <v>896</v>
      </c>
      <c r="K5" s="23" t="s">
        <v>2</v>
      </c>
      <c r="L5" s="24" t="s">
        <v>2</v>
      </c>
    </row>
    <row r="6" spans="1:18" x14ac:dyDescent="0.4">
      <c r="A6" s="10" t="s">
        <v>25</v>
      </c>
      <c r="B6" s="11">
        <v>175</v>
      </c>
      <c r="C6" s="11" t="s">
        <v>2</v>
      </c>
      <c r="D6" s="12" t="s">
        <v>26</v>
      </c>
      <c r="E6" s="16" t="s">
        <v>44</v>
      </c>
      <c r="F6" s="17">
        <v>345</v>
      </c>
      <c r="G6" s="17" t="s">
        <v>2</v>
      </c>
      <c r="H6" s="18" t="s">
        <v>12</v>
      </c>
      <c r="I6" s="22" t="s">
        <v>78</v>
      </c>
      <c r="J6" s="23">
        <v>395</v>
      </c>
      <c r="K6" s="23" t="s">
        <v>2</v>
      </c>
      <c r="L6" s="24" t="s">
        <v>12</v>
      </c>
    </row>
    <row r="7" spans="1:18" x14ac:dyDescent="0.4">
      <c r="A7" s="10" t="s">
        <v>27</v>
      </c>
      <c r="B7" s="11">
        <v>100</v>
      </c>
      <c r="C7" s="11" t="s">
        <v>2</v>
      </c>
      <c r="D7" s="12" t="s">
        <v>28</v>
      </c>
      <c r="E7" s="16" t="s">
        <v>80</v>
      </c>
      <c r="F7" s="17">
        <v>161</v>
      </c>
      <c r="G7" s="17" t="s">
        <v>2</v>
      </c>
      <c r="H7" s="18" t="s">
        <v>14</v>
      </c>
      <c r="I7" s="22" t="s">
        <v>79</v>
      </c>
      <c r="J7" s="23">
        <v>1511</v>
      </c>
      <c r="K7" s="23" t="s">
        <v>2</v>
      </c>
      <c r="L7" s="24" t="s">
        <v>2</v>
      </c>
    </row>
    <row r="8" spans="1:18" x14ac:dyDescent="0.4">
      <c r="A8" s="10" t="s">
        <v>29</v>
      </c>
      <c r="B8" s="11">
        <v>300</v>
      </c>
      <c r="C8" s="11" t="s">
        <v>2</v>
      </c>
      <c r="D8" s="12" t="s">
        <v>30</v>
      </c>
      <c r="E8" s="16" t="s">
        <v>52</v>
      </c>
      <c r="F8" s="17">
        <v>75</v>
      </c>
      <c r="G8" s="17" t="s">
        <v>32</v>
      </c>
      <c r="H8" s="18" t="s">
        <v>2</v>
      </c>
      <c r="I8" s="22" t="s">
        <v>76</v>
      </c>
      <c r="J8" s="23">
        <v>75</v>
      </c>
      <c r="K8" s="23" t="s">
        <v>2</v>
      </c>
      <c r="L8" s="24" t="s">
        <v>77</v>
      </c>
    </row>
    <row r="9" spans="1:18" ht="27" thickBot="1" x14ac:dyDescent="0.45">
      <c r="A9" s="13" t="s">
        <v>377</v>
      </c>
      <c r="B9" s="14">
        <v>150</v>
      </c>
      <c r="C9" s="14" t="s">
        <v>32</v>
      </c>
      <c r="D9" s="15" t="s">
        <v>2</v>
      </c>
      <c r="E9" s="16" t="s">
        <v>53</v>
      </c>
      <c r="F9" s="17">
        <v>25</v>
      </c>
      <c r="G9" s="17" t="s">
        <v>32</v>
      </c>
      <c r="H9" s="18" t="s">
        <v>2</v>
      </c>
      <c r="I9" s="22" t="s">
        <v>88</v>
      </c>
      <c r="J9" s="23">
        <v>55</v>
      </c>
      <c r="K9" s="23" t="s">
        <v>2</v>
      </c>
      <c r="L9" s="24" t="s">
        <v>14</v>
      </c>
    </row>
    <row r="10" spans="1:18" x14ac:dyDescent="0.4">
      <c r="A10" s="10" t="s">
        <v>388</v>
      </c>
      <c r="B10" s="11"/>
      <c r="C10" s="11">
        <f>SUM(B5:B9)</f>
        <v>1061</v>
      </c>
      <c r="D10" s="12"/>
      <c r="E10" s="16" t="s">
        <v>65</v>
      </c>
      <c r="F10" s="17">
        <v>1000</v>
      </c>
      <c r="G10" s="17" t="s">
        <v>2</v>
      </c>
      <c r="H10" s="18" t="s">
        <v>66</v>
      </c>
      <c r="I10" s="22" t="s">
        <v>85</v>
      </c>
      <c r="J10" s="23">
        <v>100</v>
      </c>
      <c r="K10" s="23" t="s">
        <v>2</v>
      </c>
      <c r="L10" s="24" t="s">
        <v>16</v>
      </c>
    </row>
    <row r="11" spans="1:18" x14ac:dyDescent="0.4">
      <c r="A11" s="140" t="s">
        <v>436</v>
      </c>
      <c r="B11" s="141"/>
      <c r="C11" s="141"/>
      <c r="D11" s="142"/>
      <c r="E11" s="16" t="s">
        <v>67</v>
      </c>
      <c r="F11" s="17">
        <v>2500</v>
      </c>
      <c r="G11" s="17" t="s">
        <v>2</v>
      </c>
      <c r="H11" s="18" t="s">
        <v>69</v>
      </c>
      <c r="I11" s="22" t="s">
        <v>90</v>
      </c>
      <c r="J11" s="23">
        <v>100</v>
      </c>
      <c r="K11" s="23" t="s">
        <v>89</v>
      </c>
      <c r="L11" s="24" t="s">
        <v>32</v>
      </c>
    </row>
    <row r="12" spans="1:18" x14ac:dyDescent="0.4">
      <c r="A12" s="10" t="s">
        <v>381</v>
      </c>
      <c r="B12" s="11">
        <v>31</v>
      </c>
      <c r="C12" s="11" t="s">
        <v>6</v>
      </c>
      <c r="D12" s="12" t="s">
        <v>2</v>
      </c>
      <c r="E12" s="16" t="s">
        <v>68</v>
      </c>
      <c r="F12" s="17">
        <v>50</v>
      </c>
      <c r="G12" s="17" t="s">
        <v>501</v>
      </c>
      <c r="H12" s="18" t="s">
        <v>2</v>
      </c>
      <c r="I12" s="22" t="s">
        <v>73</v>
      </c>
      <c r="J12" s="23">
        <v>250</v>
      </c>
      <c r="K12" s="23" t="s">
        <v>32</v>
      </c>
      <c r="L12" s="24" t="s">
        <v>2</v>
      </c>
    </row>
    <row r="13" spans="1:18" x14ac:dyDescent="0.4">
      <c r="A13" s="10" t="s">
        <v>382</v>
      </c>
      <c r="B13" s="11">
        <v>255</v>
      </c>
      <c r="C13" s="11" t="s">
        <v>6</v>
      </c>
      <c r="D13" s="12" t="s">
        <v>2</v>
      </c>
      <c r="E13" s="16" t="s">
        <v>70</v>
      </c>
      <c r="F13" s="17">
        <v>500</v>
      </c>
      <c r="G13" s="17" t="s">
        <v>2</v>
      </c>
      <c r="H13" s="18" t="s">
        <v>18</v>
      </c>
      <c r="I13" s="22" t="s">
        <v>74</v>
      </c>
      <c r="J13" s="23">
        <v>899</v>
      </c>
      <c r="K13" s="23" t="s">
        <v>32</v>
      </c>
      <c r="L13" s="24" t="s">
        <v>2</v>
      </c>
    </row>
    <row r="14" spans="1:18" x14ac:dyDescent="0.4">
      <c r="A14" s="10" t="s">
        <v>389</v>
      </c>
      <c r="B14" s="11">
        <v>20</v>
      </c>
      <c r="C14" s="11" t="s">
        <v>6</v>
      </c>
      <c r="D14" s="12" t="s">
        <v>16</v>
      </c>
      <c r="E14" s="16" t="s">
        <v>393</v>
      </c>
      <c r="F14" s="17">
        <v>25</v>
      </c>
      <c r="G14" s="17" t="s">
        <v>2</v>
      </c>
      <c r="H14" s="18" t="s">
        <v>12</v>
      </c>
      <c r="I14" s="22" t="s">
        <v>405</v>
      </c>
      <c r="J14" s="23">
        <f>1166+90</f>
        <v>1256</v>
      </c>
      <c r="K14" s="23" t="s">
        <v>2</v>
      </c>
      <c r="L14" s="24" t="s">
        <v>2</v>
      </c>
    </row>
    <row r="15" spans="1:18" x14ac:dyDescent="0.4">
      <c r="A15" s="10" t="s">
        <v>383</v>
      </c>
      <c r="B15" s="11">
        <v>20</v>
      </c>
      <c r="C15" s="11" t="s">
        <v>6</v>
      </c>
      <c r="D15" s="12" t="s">
        <v>14</v>
      </c>
      <c r="E15" s="16" t="s">
        <v>394</v>
      </c>
      <c r="F15" s="17">
        <v>80</v>
      </c>
      <c r="G15" s="17" t="s">
        <v>2</v>
      </c>
      <c r="H15" s="18" t="s">
        <v>2</v>
      </c>
      <c r="I15" s="22" t="s">
        <v>406</v>
      </c>
      <c r="J15" s="23">
        <v>143</v>
      </c>
      <c r="K15" s="23" t="s">
        <v>2</v>
      </c>
      <c r="L15" s="24" t="s">
        <v>94</v>
      </c>
    </row>
    <row r="16" spans="1:18" x14ac:dyDescent="0.4">
      <c r="A16" s="10" t="s">
        <v>378</v>
      </c>
      <c r="B16" s="11">
        <v>500</v>
      </c>
      <c r="C16" s="11" t="s">
        <v>6</v>
      </c>
      <c r="D16" s="12" t="s">
        <v>18</v>
      </c>
      <c r="E16" s="16" t="s">
        <v>395</v>
      </c>
      <c r="F16" s="17">
        <v>70</v>
      </c>
      <c r="G16" s="17" t="s">
        <v>49</v>
      </c>
      <c r="H16" s="18" t="s">
        <v>12</v>
      </c>
      <c r="I16" s="22" t="s">
        <v>407</v>
      </c>
      <c r="J16" s="23">
        <v>50</v>
      </c>
      <c r="K16" s="23" t="s">
        <v>2</v>
      </c>
      <c r="L16" s="24" t="s">
        <v>94</v>
      </c>
    </row>
    <row r="17" spans="1:12" x14ac:dyDescent="0.4">
      <c r="A17" s="10" t="s">
        <v>379</v>
      </c>
      <c r="B17" s="11">
        <v>215</v>
      </c>
      <c r="C17" s="11" t="s">
        <v>6</v>
      </c>
      <c r="D17" s="12" t="s">
        <v>2</v>
      </c>
      <c r="E17" s="16" t="s">
        <v>396</v>
      </c>
      <c r="F17" s="17">
        <v>175</v>
      </c>
      <c r="G17" s="17" t="s">
        <v>49</v>
      </c>
      <c r="H17" s="18" t="s">
        <v>2</v>
      </c>
      <c r="I17" s="22" t="s">
        <v>364</v>
      </c>
      <c r="J17" s="23">
        <v>695</v>
      </c>
      <c r="K17" s="23" t="s">
        <v>2</v>
      </c>
      <c r="L17" s="24" t="s">
        <v>2</v>
      </c>
    </row>
    <row r="18" spans="1:12" ht="27" thickBot="1" x14ac:dyDescent="0.45">
      <c r="A18" s="10" t="s">
        <v>380</v>
      </c>
      <c r="B18" s="11">
        <v>396</v>
      </c>
      <c r="C18" s="11" t="s">
        <v>6</v>
      </c>
      <c r="D18" s="12" t="s">
        <v>2</v>
      </c>
      <c r="E18" s="16" t="s">
        <v>361</v>
      </c>
      <c r="F18" s="17">
        <v>928</v>
      </c>
      <c r="G18" s="17" t="s">
        <v>2</v>
      </c>
      <c r="H18" s="17" t="s">
        <v>2</v>
      </c>
      <c r="I18" s="25" t="s">
        <v>365</v>
      </c>
      <c r="J18" s="26">
        <v>828</v>
      </c>
      <c r="K18" s="26" t="s">
        <v>2</v>
      </c>
      <c r="L18" s="27" t="s">
        <v>2</v>
      </c>
    </row>
    <row r="19" spans="1:12" ht="27" thickBot="1" x14ac:dyDescent="0.45">
      <c r="A19" s="10" t="s">
        <v>498</v>
      </c>
      <c r="B19" s="11">
        <v>395</v>
      </c>
      <c r="C19" s="11" t="s">
        <v>6</v>
      </c>
      <c r="D19" s="12" t="s">
        <v>2</v>
      </c>
      <c r="E19" s="19" t="s">
        <v>362</v>
      </c>
      <c r="F19" s="20">
        <v>878</v>
      </c>
      <c r="G19" s="20" t="s">
        <v>2</v>
      </c>
      <c r="H19" s="20" t="s">
        <v>2</v>
      </c>
      <c r="I19" s="22" t="s">
        <v>388</v>
      </c>
      <c r="J19" s="23"/>
      <c r="K19" s="23">
        <f>SUM(J5:J18)</f>
        <v>7253</v>
      </c>
      <c r="L19" s="24"/>
    </row>
    <row r="20" spans="1:12" ht="27" thickBot="1" x14ac:dyDescent="0.45">
      <c r="A20" s="13" t="s">
        <v>499</v>
      </c>
      <c r="B20" s="14">
        <v>360</v>
      </c>
      <c r="C20" s="14" t="s">
        <v>6</v>
      </c>
      <c r="D20" s="15" t="s">
        <v>2</v>
      </c>
      <c r="E20" s="16" t="s">
        <v>388</v>
      </c>
      <c r="F20" s="17"/>
      <c r="G20" s="17">
        <f>SUM(F5:F19)</f>
        <v>7685</v>
      </c>
      <c r="H20" s="18"/>
      <c r="I20" s="137" t="s">
        <v>440</v>
      </c>
      <c r="J20" s="138"/>
      <c r="K20" s="138"/>
      <c r="L20" s="139"/>
    </row>
    <row r="21" spans="1:12" x14ac:dyDescent="0.4">
      <c r="A21" s="10" t="s">
        <v>388</v>
      </c>
      <c r="B21" s="11"/>
      <c r="C21" s="11">
        <f>SUM(B12:B20)</f>
        <v>2192</v>
      </c>
      <c r="D21" s="12">
        <f>C10+C21</f>
        <v>3253</v>
      </c>
      <c r="E21" s="134" t="s">
        <v>434</v>
      </c>
      <c r="F21" s="135"/>
      <c r="G21" s="135"/>
      <c r="H21" s="136"/>
      <c r="I21" s="22" t="s">
        <v>83</v>
      </c>
      <c r="J21" s="23">
        <v>289</v>
      </c>
      <c r="K21" s="23" t="s">
        <v>82</v>
      </c>
      <c r="L21" s="24" t="s">
        <v>2</v>
      </c>
    </row>
    <row r="22" spans="1:12" x14ac:dyDescent="0.4">
      <c r="A22" s="140" t="s">
        <v>437</v>
      </c>
      <c r="B22" s="141"/>
      <c r="C22" s="141"/>
      <c r="D22" s="142"/>
      <c r="E22" s="16" t="s">
        <v>397</v>
      </c>
      <c r="F22" s="17">
        <v>160</v>
      </c>
      <c r="G22" s="17" t="s">
        <v>54</v>
      </c>
      <c r="H22" s="18" t="s">
        <v>2</v>
      </c>
      <c r="I22" s="22" t="s">
        <v>84</v>
      </c>
      <c r="J22" s="23">
        <v>60</v>
      </c>
      <c r="K22" s="23" t="s">
        <v>82</v>
      </c>
      <c r="L22" s="24" t="s">
        <v>14</v>
      </c>
    </row>
    <row r="23" spans="1:12" x14ac:dyDescent="0.4">
      <c r="A23" s="10" t="s">
        <v>8</v>
      </c>
      <c r="B23" s="11">
        <v>451</v>
      </c>
      <c r="C23" s="11" t="s">
        <v>125</v>
      </c>
      <c r="D23" s="12" t="s">
        <v>2</v>
      </c>
      <c r="E23" s="16" t="s">
        <v>398</v>
      </c>
      <c r="F23" s="17">
        <v>25</v>
      </c>
      <c r="G23" s="17" t="s">
        <v>54</v>
      </c>
      <c r="H23" s="18" t="s">
        <v>12</v>
      </c>
      <c r="I23" s="22" t="s">
        <v>85</v>
      </c>
      <c r="J23" s="23">
        <v>40</v>
      </c>
      <c r="K23" s="23" t="s">
        <v>82</v>
      </c>
      <c r="L23" s="24" t="s">
        <v>16</v>
      </c>
    </row>
    <row r="24" spans="1:12" x14ac:dyDescent="0.4">
      <c r="A24" s="10" t="s">
        <v>9</v>
      </c>
      <c r="B24" s="11">
        <v>20</v>
      </c>
      <c r="C24" s="11" t="s">
        <v>125</v>
      </c>
      <c r="D24" s="12" t="s">
        <v>12</v>
      </c>
      <c r="E24" s="16" t="s">
        <v>399</v>
      </c>
      <c r="F24" s="17">
        <v>500</v>
      </c>
      <c r="G24" s="17" t="s">
        <v>54</v>
      </c>
      <c r="H24" s="18" t="s">
        <v>18</v>
      </c>
      <c r="I24" s="22" t="s">
        <v>86</v>
      </c>
      <c r="J24" s="23">
        <v>75</v>
      </c>
      <c r="K24" s="23" t="s">
        <v>82</v>
      </c>
      <c r="L24" s="24" t="s">
        <v>12</v>
      </c>
    </row>
    <row r="25" spans="1:12" ht="27" thickBot="1" x14ac:dyDescent="0.45">
      <c r="A25" s="10" t="s">
        <v>84</v>
      </c>
      <c r="B25" s="11">
        <v>40</v>
      </c>
      <c r="C25" s="11" t="s">
        <v>125</v>
      </c>
      <c r="D25" s="12" t="s">
        <v>14</v>
      </c>
      <c r="E25" s="16" t="s">
        <v>400</v>
      </c>
      <c r="F25" s="17">
        <v>500</v>
      </c>
      <c r="G25" s="17" t="s">
        <v>59</v>
      </c>
      <c r="H25" s="18" t="s">
        <v>18</v>
      </c>
      <c r="I25" s="25" t="s">
        <v>87</v>
      </c>
      <c r="J25" s="26">
        <v>187</v>
      </c>
      <c r="K25" s="26" t="s">
        <v>82</v>
      </c>
      <c r="L25" s="27" t="s">
        <v>2</v>
      </c>
    </row>
    <row r="26" spans="1:12" ht="27" thickBot="1" x14ac:dyDescent="0.45">
      <c r="A26" s="10" t="s">
        <v>15</v>
      </c>
      <c r="B26" s="11">
        <v>20</v>
      </c>
      <c r="C26" s="11" t="s">
        <v>125</v>
      </c>
      <c r="D26" s="12" t="s">
        <v>16</v>
      </c>
      <c r="E26" s="16" t="s">
        <v>401</v>
      </c>
      <c r="F26" s="17">
        <v>75</v>
      </c>
      <c r="G26" s="17" t="s">
        <v>54</v>
      </c>
      <c r="H26" s="18" t="s">
        <v>12</v>
      </c>
      <c r="I26" s="93" t="s">
        <v>388</v>
      </c>
      <c r="J26" s="94"/>
      <c r="K26" s="94">
        <f>SUM(J21:J25)</f>
        <v>651</v>
      </c>
      <c r="L26" s="95">
        <f>K19+K26</f>
        <v>7904</v>
      </c>
    </row>
    <row r="27" spans="1:12" ht="27" thickBot="1" x14ac:dyDescent="0.45">
      <c r="A27" s="10" t="s">
        <v>17</v>
      </c>
      <c r="B27" s="11">
        <v>500</v>
      </c>
      <c r="C27" s="11" t="s">
        <v>125</v>
      </c>
      <c r="D27" s="12" t="s">
        <v>18</v>
      </c>
      <c r="E27" s="16" t="s">
        <v>402</v>
      </c>
      <c r="F27" s="17">
        <v>25</v>
      </c>
      <c r="G27" s="17" t="s">
        <v>54</v>
      </c>
      <c r="H27" s="18" t="s">
        <v>2</v>
      </c>
      <c r="I27" s="25" t="s">
        <v>96</v>
      </c>
      <c r="J27" s="26">
        <f>SUM(J5:J26)</f>
        <v>7904</v>
      </c>
      <c r="K27" s="26"/>
      <c r="L27" s="27"/>
    </row>
    <row r="28" spans="1:12" ht="27" thickBot="1" x14ac:dyDescent="0.45">
      <c r="A28" s="10" t="s">
        <v>384</v>
      </c>
      <c r="B28" s="11">
        <v>99</v>
      </c>
      <c r="C28" s="11" t="s">
        <v>125</v>
      </c>
      <c r="D28" s="12" t="s">
        <v>2</v>
      </c>
      <c r="E28" s="19" t="s">
        <v>403</v>
      </c>
      <c r="F28" s="20">
        <v>75</v>
      </c>
      <c r="G28" s="20" t="s">
        <v>54</v>
      </c>
      <c r="H28" s="21" t="s">
        <v>2</v>
      </c>
    </row>
    <row r="29" spans="1:12" ht="27" thickBot="1" x14ac:dyDescent="0.45">
      <c r="A29" s="10" t="s">
        <v>385</v>
      </c>
      <c r="B29" s="11">
        <v>500</v>
      </c>
      <c r="C29" s="11" t="s">
        <v>125</v>
      </c>
      <c r="D29" s="12" t="s">
        <v>18</v>
      </c>
      <c r="E29" s="86" t="s">
        <v>388</v>
      </c>
      <c r="F29" s="87"/>
      <c r="G29" s="87">
        <f>SUM(F22:F28)</f>
        <v>1360</v>
      </c>
      <c r="H29" s="88">
        <f>G20+G29</f>
        <v>9045</v>
      </c>
      <c r="I29" s="1" t="s">
        <v>404</v>
      </c>
    </row>
    <row r="30" spans="1:12" ht="27" thickBot="1" x14ac:dyDescent="0.45">
      <c r="A30" s="13" t="s">
        <v>386</v>
      </c>
      <c r="B30" s="14">
        <v>40</v>
      </c>
      <c r="C30" s="14" t="s">
        <v>125</v>
      </c>
      <c r="D30" s="15" t="s">
        <v>16</v>
      </c>
      <c r="E30" s="19" t="s">
        <v>71</v>
      </c>
      <c r="F30" s="20">
        <f>SUM(F5:F29)</f>
        <v>9045</v>
      </c>
      <c r="G30" s="20"/>
      <c r="H30" s="21"/>
    </row>
    <row r="31" spans="1:12" x14ac:dyDescent="0.4">
      <c r="A31" s="10" t="s">
        <v>388</v>
      </c>
      <c r="B31" s="11"/>
      <c r="C31" s="11">
        <f>SUM(B23:B30)</f>
        <v>1670</v>
      </c>
      <c r="D31" s="12">
        <f>D21+C31</f>
        <v>4923</v>
      </c>
    </row>
    <row r="32" spans="1:12" x14ac:dyDescent="0.4">
      <c r="A32" s="140" t="s">
        <v>438</v>
      </c>
      <c r="B32" s="141"/>
      <c r="C32" s="141"/>
      <c r="D32" s="142"/>
      <c r="E32" s="1" t="s">
        <v>206</v>
      </c>
      <c r="F32" s="1">
        <f>B37+F30+J27</f>
        <v>22722</v>
      </c>
    </row>
    <row r="33" spans="1:4" x14ac:dyDescent="0.4">
      <c r="A33" s="10" t="s">
        <v>37</v>
      </c>
      <c r="B33" s="11">
        <v>310</v>
      </c>
      <c r="C33" s="11" t="s">
        <v>390</v>
      </c>
      <c r="D33" s="12" t="s">
        <v>2</v>
      </c>
    </row>
    <row r="34" spans="1:4" x14ac:dyDescent="0.4">
      <c r="A34" s="10" t="s">
        <v>42</v>
      </c>
      <c r="B34" s="11">
        <f>4973-4933</f>
        <v>40</v>
      </c>
      <c r="C34" s="11" t="s">
        <v>390</v>
      </c>
      <c r="D34" s="12" t="s">
        <v>12</v>
      </c>
    </row>
    <row r="35" spans="1:4" ht="27" thickBot="1" x14ac:dyDescent="0.45">
      <c r="A35" s="13" t="s">
        <v>387</v>
      </c>
      <c r="B35" s="14">
        <v>500</v>
      </c>
      <c r="C35" s="14" t="s">
        <v>390</v>
      </c>
      <c r="D35" s="15" t="s">
        <v>391</v>
      </c>
    </row>
    <row r="36" spans="1:4" ht="27" thickBot="1" x14ac:dyDescent="0.45">
      <c r="A36" s="76" t="s">
        <v>388</v>
      </c>
      <c r="B36" s="91"/>
      <c r="C36" s="91">
        <f>SUM(B33:B35)</f>
        <v>850</v>
      </c>
      <c r="D36" s="92">
        <f>D31+C36</f>
        <v>5773</v>
      </c>
    </row>
    <row r="37" spans="1:4" ht="27" thickBot="1" x14ac:dyDescent="0.45">
      <c r="A37" s="13" t="s">
        <v>97</v>
      </c>
      <c r="B37" s="14">
        <f>SUM(B2:B35)</f>
        <v>5773</v>
      </c>
      <c r="C37" s="14"/>
      <c r="D37" s="15"/>
    </row>
  </sheetData>
  <mergeCells count="12">
    <mergeCell ref="A32:D32"/>
    <mergeCell ref="E21:H21"/>
    <mergeCell ref="A11:D11"/>
    <mergeCell ref="A22:D22"/>
    <mergeCell ref="I20:L20"/>
    <mergeCell ref="A1:L1"/>
    <mergeCell ref="A2:D2"/>
    <mergeCell ref="E2:H2"/>
    <mergeCell ref="I2:L2"/>
    <mergeCell ref="A4:D4"/>
    <mergeCell ref="E4:H4"/>
    <mergeCell ref="I4:L4"/>
  </mergeCells>
  <pageMargins left="0.7" right="0.7" top="0.75" bottom="0.75" header="0.3" footer="0.3"/>
  <pageSetup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2B1A8-31C4-42F7-8736-D22BBF91EC87}">
  <dimension ref="A1:R72"/>
  <sheetViews>
    <sheetView topLeftCell="D1" zoomScale="70" zoomScaleNormal="70" workbookViewId="0">
      <selection activeCell="H30" sqref="H30"/>
    </sheetView>
  </sheetViews>
  <sheetFormatPr defaultRowHeight="26.25" x14ac:dyDescent="0.4"/>
  <cols>
    <col min="1" max="1" width="118.28515625" style="1" bestFit="1" customWidth="1"/>
    <col min="2" max="2" width="17.85546875" style="1" bestFit="1" customWidth="1"/>
    <col min="3" max="3" width="36" style="1" bestFit="1" customWidth="1"/>
    <col min="4" max="4" width="48.28515625" style="1" bestFit="1" customWidth="1"/>
    <col min="5" max="5" width="92.7109375" style="1" bestFit="1" customWidth="1"/>
    <col min="6" max="6" width="14.42578125" style="1" customWidth="1"/>
    <col min="7" max="7" width="57.42578125" style="1" bestFit="1" customWidth="1"/>
    <col min="8" max="8" width="58.7109375" style="1" bestFit="1" customWidth="1"/>
    <col min="9" max="9" width="101" style="1" bestFit="1" customWidth="1"/>
    <col min="10" max="10" width="14.42578125" style="1" bestFit="1" customWidth="1"/>
    <col min="11" max="11" width="50.7109375" style="1" bestFit="1" customWidth="1"/>
    <col min="12" max="12" width="49.140625" style="1" bestFit="1" customWidth="1"/>
    <col min="13" max="13" width="12" style="1" bestFit="1" customWidth="1"/>
    <col min="14" max="16384" width="9.140625" style="1"/>
  </cols>
  <sheetData>
    <row r="1" spans="1:18" ht="27" thickBot="1" x14ac:dyDescent="0.45">
      <c r="A1" s="143" t="str">
        <f>"Lost Cities (total " &amp; F33 &amp; ")"</f>
        <v>Lost Cities (total 34648)</v>
      </c>
      <c r="B1" s="144"/>
      <c r="C1" s="144"/>
      <c r="D1" s="144"/>
      <c r="E1" s="144"/>
      <c r="F1" s="144"/>
      <c r="G1" s="144"/>
      <c r="H1" s="144"/>
      <c r="I1" s="144"/>
      <c r="J1" s="144"/>
      <c r="K1" s="144"/>
      <c r="L1" s="145"/>
      <c r="N1" s="2"/>
      <c r="P1" s="2"/>
      <c r="R1" s="2"/>
    </row>
    <row r="2" spans="1:18" ht="27" thickBot="1" x14ac:dyDescent="0.45">
      <c r="A2" s="122" t="s">
        <v>98</v>
      </c>
      <c r="B2" s="123"/>
      <c r="C2" s="123"/>
      <c r="D2" s="124"/>
      <c r="E2" s="125" t="s">
        <v>146</v>
      </c>
      <c r="F2" s="126"/>
      <c r="G2" s="126"/>
      <c r="H2" s="127"/>
      <c r="I2" s="128" t="s">
        <v>170</v>
      </c>
      <c r="J2" s="129"/>
      <c r="K2" s="129"/>
      <c r="L2" s="130"/>
    </row>
    <row r="3" spans="1:18" ht="27" thickBot="1" x14ac:dyDescent="0.45">
      <c r="A3" s="36" t="s">
        <v>0</v>
      </c>
      <c r="B3" s="37" t="s">
        <v>1</v>
      </c>
      <c r="C3" s="37" t="s">
        <v>19</v>
      </c>
      <c r="D3" s="38" t="s">
        <v>20</v>
      </c>
      <c r="E3" s="39" t="s">
        <v>0</v>
      </c>
      <c r="F3" s="39" t="s">
        <v>1</v>
      </c>
      <c r="G3" s="39" t="s">
        <v>19</v>
      </c>
      <c r="H3" s="40" t="s">
        <v>20</v>
      </c>
      <c r="I3" s="41" t="s">
        <v>0</v>
      </c>
      <c r="J3" s="42" t="s">
        <v>1</v>
      </c>
      <c r="K3" s="42" t="s">
        <v>19</v>
      </c>
      <c r="L3" s="43" t="s">
        <v>20</v>
      </c>
    </row>
    <row r="4" spans="1:18" x14ac:dyDescent="0.4">
      <c r="A4" s="140" t="s">
        <v>441</v>
      </c>
      <c r="B4" s="141"/>
      <c r="C4" s="141"/>
      <c r="D4" s="142"/>
      <c r="E4" s="146" t="s">
        <v>454</v>
      </c>
      <c r="F4" s="147"/>
      <c r="G4" s="147"/>
      <c r="H4" s="147"/>
      <c r="I4" s="148" t="s">
        <v>446</v>
      </c>
      <c r="J4" s="149"/>
      <c r="K4" s="149"/>
      <c r="L4" s="150"/>
    </row>
    <row r="5" spans="1:18" x14ac:dyDescent="0.4">
      <c r="A5" s="10" t="s">
        <v>100</v>
      </c>
      <c r="B5" s="11">
        <v>722</v>
      </c>
      <c r="C5" s="11" t="s">
        <v>2</v>
      </c>
      <c r="D5" s="12" t="s">
        <v>2</v>
      </c>
      <c r="E5" s="16" t="s">
        <v>149</v>
      </c>
      <c r="F5" s="17">
        <v>507</v>
      </c>
      <c r="G5" s="17" t="s">
        <v>2</v>
      </c>
      <c r="H5" s="17" t="s">
        <v>2</v>
      </c>
      <c r="I5" s="22" t="s">
        <v>172</v>
      </c>
      <c r="J5" s="23">
        <v>240</v>
      </c>
      <c r="K5" s="23" t="s">
        <v>2</v>
      </c>
      <c r="L5" s="24" t="s">
        <v>2</v>
      </c>
    </row>
    <row r="6" spans="1:18" ht="27" thickBot="1" x14ac:dyDescent="0.45">
      <c r="A6" s="10" t="s">
        <v>25</v>
      </c>
      <c r="B6" s="11">
        <v>750</v>
      </c>
      <c r="C6" s="11" t="s">
        <v>2</v>
      </c>
      <c r="D6" s="12" t="s">
        <v>26</v>
      </c>
      <c r="E6" s="16" t="s">
        <v>148</v>
      </c>
      <c r="F6" s="17">
        <v>125</v>
      </c>
      <c r="G6" s="17" t="s">
        <v>2</v>
      </c>
      <c r="H6" s="17" t="s">
        <v>77</v>
      </c>
      <c r="I6" s="25" t="s">
        <v>174</v>
      </c>
      <c r="J6" s="26">
        <v>125</v>
      </c>
      <c r="K6" s="26" t="s">
        <v>2</v>
      </c>
      <c r="L6" s="27" t="s">
        <v>12</v>
      </c>
    </row>
    <row r="7" spans="1:18" x14ac:dyDescent="0.4">
      <c r="A7" s="10" t="s">
        <v>101</v>
      </c>
      <c r="B7" s="11">
        <f>350-75</f>
        <v>275</v>
      </c>
      <c r="C7" s="11" t="s">
        <v>2</v>
      </c>
      <c r="D7" s="12" t="s">
        <v>28</v>
      </c>
      <c r="E7" s="16" t="s">
        <v>84</v>
      </c>
      <c r="F7" s="17">
        <v>80</v>
      </c>
      <c r="G7" s="17" t="s">
        <v>2</v>
      </c>
      <c r="H7" s="17" t="s">
        <v>14</v>
      </c>
      <c r="I7" s="22" t="s">
        <v>388</v>
      </c>
      <c r="J7" s="23"/>
      <c r="K7" s="23">
        <f>J5+J6</f>
        <v>365</v>
      </c>
      <c r="L7" s="24"/>
    </row>
    <row r="8" spans="1:18" ht="27" thickBot="1" x14ac:dyDescent="0.45">
      <c r="A8" s="10" t="s">
        <v>103</v>
      </c>
      <c r="B8" s="11">
        <v>200</v>
      </c>
      <c r="C8" s="11" t="s">
        <v>2</v>
      </c>
      <c r="D8" s="12" t="s">
        <v>6</v>
      </c>
      <c r="E8" s="19" t="s">
        <v>150</v>
      </c>
      <c r="F8" s="20">
        <v>20</v>
      </c>
      <c r="G8" s="20" t="s">
        <v>2</v>
      </c>
      <c r="H8" s="21" t="s">
        <v>151</v>
      </c>
      <c r="I8" s="137" t="s">
        <v>447</v>
      </c>
      <c r="J8" s="138"/>
      <c r="K8" s="138"/>
      <c r="L8" s="139"/>
    </row>
    <row r="9" spans="1:18" x14ac:dyDescent="0.4">
      <c r="A9" s="10" t="s">
        <v>104</v>
      </c>
      <c r="B9" s="11">
        <v>175</v>
      </c>
      <c r="C9" s="11" t="s">
        <v>2</v>
      </c>
      <c r="D9" s="12" t="s">
        <v>105</v>
      </c>
      <c r="E9" s="16" t="s">
        <v>388</v>
      </c>
      <c r="F9" s="17"/>
      <c r="G9" s="17">
        <f>SUM(F5:F8)</f>
        <v>732</v>
      </c>
      <c r="H9" s="17"/>
      <c r="I9" s="22" t="s">
        <v>430</v>
      </c>
      <c r="J9" s="23">
        <v>15</v>
      </c>
      <c r="K9" s="23" t="s">
        <v>89</v>
      </c>
      <c r="L9" s="24" t="s">
        <v>2</v>
      </c>
    </row>
    <row r="10" spans="1:18" x14ac:dyDescent="0.4">
      <c r="A10" s="10" t="s">
        <v>85</v>
      </c>
      <c r="B10" s="11">
        <v>60</v>
      </c>
      <c r="C10" s="11" t="s">
        <v>2</v>
      </c>
      <c r="D10" s="12" t="s">
        <v>16</v>
      </c>
      <c r="E10" s="134" t="s">
        <v>455</v>
      </c>
      <c r="F10" s="135"/>
      <c r="G10" s="135"/>
      <c r="H10" s="136"/>
      <c r="I10" s="22" t="s">
        <v>429</v>
      </c>
      <c r="J10" s="23">
        <v>225</v>
      </c>
      <c r="K10" s="23" t="s">
        <v>89</v>
      </c>
      <c r="L10" s="24" t="s">
        <v>32</v>
      </c>
    </row>
    <row r="11" spans="1:18" x14ac:dyDescent="0.4">
      <c r="A11" s="10" t="s">
        <v>134</v>
      </c>
      <c r="B11" s="11">
        <v>20</v>
      </c>
      <c r="C11" s="11" t="s">
        <v>2</v>
      </c>
      <c r="D11" s="12" t="s">
        <v>14</v>
      </c>
      <c r="E11" s="16" t="s">
        <v>152</v>
      </c>
      <c r="F11" s="17">
        <v>75</v>
      </c>
      <c r="G11" s="17" t="s">
        <v>501</v>
      </c>
      <c r="H11" s="17" t="s">
        <v>2</v>
      </c>
      <c r="I11" s="22" t="s">
        <v>419</v>
      </c>
      <c r="J11" s="23">
        <v>579</v>
      </c>
      <c r="K11" s="23" t="s">
        <v>89</v>
      </c>
      <c r="L11" s="24" t="s">
        <v>2</v>
      </c>
    </row>
    <row r="12" spans="1:18" x14ac:dyDescent="0.4">
      <c r="A12" s="10" t="s">
        <v>135</v>
      </c>
      <c r="B12" s="11">
        <f>765-175</f>
        <v>590</v>
      </c>
      <c r="C12" s="11" t="s">
        <v>2</v>
      </c>
      <c r="D12" s="12" t="s">
        <v>12</v>
      </c>
      <c r="E12" s="16" t="s">
        <v>153</v>
      </c>
      <c r="F12" s="17">
        <v>1500</v>
      </c>
      <c r="G12" s="17" t="s">
        <v>501</v>
      </c>
      <c r="H12" s="17" t="s">
        <v>2</v>
      </c>
      <c r="I12" s="22" t="s">
        <v>420</v>
      </c>
      <c r="J12" s="23">
        <v>25</v>
      </c>
      <c r="K12" s="23" t="s">
        <v>89</v>
      </c>
      <c r="L12" s="24" t="s">
        <v>12</v>
      </c>
    </row>
    <row r="13" spans="1:18" x14ac:dyDescent="0.4">
      <c r="A13" s="10" t="s">
        <v>503</v>
      </c>
      <c r="B13" s="11">
        <v>175</v>
      </c>
      <c r="C13" s="11" t="s">
        <v>89</v>
      </c>
      <c r="D13" s="12" t="s">
        <v>32</v>
      </c>
      <c r="E13" s="16" t="s">
        <v>159</v>
      </c>
      <c r="F13" s="17">
        <v>730</v>
      </c>
      <c r="G13" s="17" t="s">
        <v>32</v>
      </c>
      <c r="H13" s="17" t="s">
        <v>2</v>
      </c>
      <c r="I13" s="22" t="s">
        <v>421</v>
      </c>
      <c r="J13" s="23">
        <v>397</v>
      </c>
      <c r="K13" s="23" t="s">
        <v>178</v>
      </c>
      <c r="L13" s="24" t="s">
        <v>2</v>
      </c>
    </row>
    <row r="14" spans="1:18" x14ac:dyDescent="0.4">
      <c r="A14" s="10" t="s">
        <v>504</v>
      </c>
      <c r="B14" s="11">
        <v>75</v>
      </c>
      <c r="C14" s="11" t="s">
        <v>89</v>
      </c>
      <c r="D14" s="12" t="s">
        <v>32</v>
      </c>
      <c r="E14" s="16" t="s">
        <v>148</v>
      </c>
      <c r="F14" s="17">
        <v>125</v>
      </c>
      <c r="G14" s="17" t="s">
        <v>32</v>
      </c>
      <c r="H14" s="17" t="s">
        <v>77</v>
      </c>
      <c r="I14" s="22" t="s">
        <v>422</v>
      </c>
      <c r="J14" s="23">
        <v>1500</v>
      </c>
      <c r="K14" s="23" t="s">
        <v>178</v>
      </c>
      <c r="L14" s="24" t="s">
        <v>18</v>
      </c>
    </row>
    <row r="15" spans="1:18" x14ac:dyDescent="0.4">
      <c r="A15" s="10" t="s">
        <v>408</v>
      </c>
      <c r="B15" s="11">
        <v>100</v>
      </c>
      <c r="C15" s="11" t="s">
        <v>89</v>
      </c>
      <c r="D15" s="12" t="s">
        <v>32</v>
      </c>
      <c r="E15" s="16" t="s">
        <v>85</v>
      </c>
      <c r="F15" s="17">
        <v>20</v>
      </c>
      <c r="G15" s="17" t="s">
        <v>32</v>
      </c>
      <c r="H15" s="17" t="s">
        <v>16</v>
      </c>
      <c r="I15" s="22" t="s">
        <v>431</v>
      </c>
      <c r="J15" s="23">
        <v>76</v>
      </c>
      <c r="K15" s="23" t="s">
        <v>89</v>
      </c>
      <c r="L15" s="24" t="s">
        <v>2</v>
      </c>
    </row>
    <row r="16" spans="1:18" ht="27" thickBot="1" x14ac:dyDescent="0.45">
      <c r="A16" s="13" t="s">
        <v>412</v>
      </c>
      <c r="B16" s="14">
        <v>300</v>
      </c>
      <c r="C16" s="14" t="s">
        <v>89</v>
      </c>
      <c r="D16" s="15" t="s">
        <v>32</v>
      </c>
      <c r="E16" s="16" t="s">
        <v>160</v>
      </c>
      <c r="F16" s="17">
        <v>20</v>
      </c>
      <c r="G16" s="17" t="s">
        <v>32</v>
      </c>
      <c r="H16" s="17" t="s">
        <v>14</v>
      </c>
      <c r="I16" s="22" t="s">
        <v>432</v>
      </c>
      <c r="J16" s="23">
        <v>250</v>
      </c>
      <c r="K16" s="23" t="s">
        <v>89</v>
      </c>
      <c r="L16" s="24" t="s">
        <v>32</v>
      </c>
    </row>
    <row r="17" spans="1:12" ht="27" thickBot="1" x14ac:dyDescent="0.45">
      <c r="A17" s="10" t="s">
        <v>388</v>
      </c>
      <c r="B17" s="11"/>
      <c r="C17" s="11">
        <f>SUM(B5:B16)</f>
        <v>3442</v>
      </c>
      <c r="D17" s="12"/>
      <c r="E17" s="19" t="s">
        <v>161</v>
      </c>
      <c r="F17" s="20">
        <v>500</v>
      </c>
      <c r="G17" s="20" t="s">
        <v>32</v>
      </c>
      <c r="H17" s="21" t="s">
        <v>18</v>
      </c>
      <c r="I17" s="22" t="s">
        <v>423</v>
      </c>
      <c r="J17" s="23">
        <f>1793+125</f>
        <v>1918</v>
      </c>
      <c r="K17" s="23" t="s">
        <v>89</v>
      </c>
      <c r="L17" s="24" t="s">
        <v>2</v>
      </c>
    </row>
    <row r="18" spans="1:12" x14ac:dyDescent="0.4">
      <c r="A18" s="140" t="s">
        <v>442</v>
      </c>
      <c r="B18" s="141"/>
      <c r="C18" s="141"/>
      <c r="D18" s="142"/>
      <c r="E18" s="16" t="s">
        <v>388</v>
      </c>
      <c r="F18" s="17"/>
      <c r="G18" s="17">
        <f>SUM(F11:F17)</f>
        <v>2970</v>
      </c>
      <c r="H18" s="17">
        <f>G9+G18</f>
        <v>3702</v>
      </c>
      <c r="I18" s="22" t="s">
        <v>424</v>
      </c>
      <c r="J18" s="23">
        <v>50</v>
      </c>
      <c r="K18" s="23" t="s">
        <v>89</v>
      </c>
      <c r="L18" s="24" t="s">
        <v>105</v>
      </c>
    </row>
    <row r="19" spans="1:12" x14ac:dyDescent="0.4">
      <c r="A19" s="10" t="s">
        <v>409</v>
      </c>
      <c r="B19" s="11">
        <v>25</v>
      </c>
      <c r="C19" s="11" t="s">
        <v>6</v>
      </c>
      <c r="D19" s="12" t="s">
        <v>12</v>
      </c>
      <c r="E19" s="134" t="s">
        <v>453</v>
      </c>
      <c r="F19" s="135"/>
      <c r="G19" s="135"/>
      <c r="H19" s="136"/>
      <c r="I19" s="22" t="s">
        <v>425</v>
      </c>
      <c r="J19" s="23">
        <v>100</v>
      </c>
      <c r="K19" s="23" t="s">
        <v>89</v>
      </c>
      <c r="L19" s="24" t="s">
        <v>12</v>
      </c>
    </row>
    <row r="20" spans="1:12" x14ac:dyDescent="0.4">
      <c r="A20" s="10" t="s">
        <v>410</v>
      </c>
      <c r="B20" s="11">
        <v>50</v>
      </c>
      <c r="C20" s="11" t="s">
        <v>6</v>
      </c>
      <c r="D20" s="12" t="s">
        <v>2</v>
      </c>
      <c r="E20" s="30" t="s">
        <v>265</v>
      </c>
      <c r="F20" s="17">
        <v>1225</v>
      </c>
      <c r="G20" s="17" t="s">
        <v>500</v>
      </c>
      <c r="H20" s="17" t="s">
        <v>2</v>
      </c>
      <c r="I20" s="22" t="s">
        <v>426</v>
      </c>
      <c r="J20" s="23">
        <v>50</v>
      </c>
      <c r="K20" s="23" t="s">
        <v>185</v>
      </c>
      <c r="L20" s="24" t="s">
        <v>2</v>
      </c>
    </row>
    <row r="21" spans="1:12" x14ac:dyDescent="0.4">
      <c r="A21" s="10" t="s">
        <v>411</v>
      </c>
      <c r="B21" s="11">
        <v>98</v>
      </c>
      <c r="C21" s="11" t="s">
        <v>6</v>
      </c>
      <c r="D21" s="12" t="s">
        <v>2</v>
      </c>
      <c r="E21" s="16" t="s">
        <v>147</v>
      </c>
      <c r="F21" s="17">
        <v>475</v>
      </c>
      <c r="G21" s="17" t="s">
        <v>500</v>
      </c>
      <c r="H21" s="17" t="s">
        <v>77</v>
      </c>
      <c r="I21" s="22" t="s">
        <v>427</v>
      </c>
      <c r="J21" s="23">
        <v>1500</v>
      </c>
      <c r="K21" s="23" t="s">
        <v>187</v>
      </c>
      <c r="L21" s="24" t="s">
        <v>18</v>
      </c>
    </row>
    <row r="22" spans="1:12" x14ac:dyDescent="0.4">
      <c r="A22" s="10" t="s">
        <v>413</v>
      </c>
      <c r="B22" s="11">
        <v>20</v>
      </c>
      <c r="C22" s="11" t="s">
        <v>6</v>
      </c>
      <c r="D22" s="12" t="s">
        <v>14</v>
      </c>
      <c r="E22" s="16" t="s">
        <v>160</v>
      </c>
      <c r="F22" s="17">
        <v>40</v>
      </c>
      <c r="G22" s="17" t="s">
        <v>500</v>
      </c>
      <c r="H22" s="17" t="s">
        <v>14</v>
      </c>
      <c r="I22" s="22" t="s">
        <v>428</v>
      </c>
      <c r="J22" s="23">
        <v>50</v>
      </c>
      <c r="K22" s="23" t="s">
        <v>187</v>
      </c>
      <c r="L22" s="24" t="s">
        <v>12</v>
      </c>
    </row>
    <row r="23" spans="1:12" x14ac:dyDescent="0.4">
      <c r="A23" s="10" t="s">
        <v>414</v>
      </c>
      <c r="B23" s="11">
        <v>2000</v>
      </c>
      <c r="C23" s="11" t="s">
        <v>6</v>
      </c>
      <c r="D23" s="12" t="s">
        <v>66</v>
      </c>
      <c r="E23" s="16" t="s">
        <v>498</v>
      </c>
      <c r="F23" s="17">
        <v>200</v>
      </c>
      <c r="G23" s="17" t="s">
        <v>500</v>
      </c>
      <c r="H23" s="17" t="s">
        <v>2</v>
      </c>
      <c r="I23" s="22" t="s">
        <v>364</v>
      </c>
      <c r="J23" s="23">
        <v>1114</v>
      </c>
      <c r="K23" s="23" t="s">
        <v>89</v>
      </c>
      <c r="L23" s="24" t="s">
        <v>2</v>
      </c>
    </row>
    <row r="24" spans="1:12" ht="27" thickBot="1" x14ac:dyDescent="0.45">
      <c r="A24" s="10" t="s">
        <v>415</v>
      </c>
      <c r="B24" s="11">
        <v>1000</v>
      </c>
      <c r="C24" s="11" t="s">
        <v>418</v>
      </c>
      <c r="D24" s="12" t="s">
        <v>2</v>
      </c>
      <c r="E24" s="19" t="s">
        <v>499</v>
      </c>
      <c r="F24" s="20">
        <v>200</v>
      </c>
      <c r="G24" s="20" t="s">
        <v>500</v>
      </c>
      <c r="H24" s="21" t="s">
        <v>2</v>
      </c>
      <c r="I24" s="25" t="s">
        <v>365</v>
      </c>
      <c r="J24" s="26">
        <v>1034</v>
      </c>
      <c r="K24" s="26" t="s">
        <v>89</v>
      </c>
      <c r="L24" s="27" t="s">
        <v>2</v>
      </c>
    </row>
    <row r="25" spans="1:12" x14ac:dyDescent="0.4">
      <c r="A25" s="10" t="s">
        <v>416</v>
      </c>
      <c r="B25" s="11">
        <v>50</v>
      </c>
      <c r="C25" s="11" t="s">
        <v>418</v>
      </c>
      <c r="D25" s="12" t="s">
        <v>2</v>
      </c>
      <c r="E25" s="16" t="s">
        <v>388</v>
      </c>
      <c r="F25" s="17"/>
      <c r="G25" s="17">
        <f>SUM(F20:F24)</f>
        <v>2140</v>
      </c>
      <c r="H25" s="17">
        <f>H18+G25</f>
        <v>5842</v>
      </c>
      <c r="I25" s="22" t="s">
        <v>388</v>
      </c>
      <c r="J25" s="23"/>
      <c r="K25" s="23">
        <f>SUM(J9:J24)</f>
        <v>8883</v>
      </c>
      <c r="L25" s="24">
        <f>K7+K25</f>
        <v>9248</v>
      </c>
    </row>
    <row r="26" spans="1:12" x14ac:dyDescent="0.4">
      <c r="A26" s="10" t="s">
        <v>417</v>
      </c>
      <c r="B26" s="11">
        <v>20</v>
      </c>
      <c r="C26" s="11" t="s">
        <v>125</v>
      </c>
      <c r="D26" s="12" t="s">
        <v>2</v>
      </c>
      <c r="E26" s="134" t="s">
        <v>456</v>
      </c>
      <c r="F26" s="135"/>
      <c r="G26" s="135"/>
      <c r="H26" s="136"/>
      <c r="I26" s="137" t="s">
        <v>448</v>
      </c>
      <c r="J26" s="138"/>
      <c r="K26" s="138"/>
      <c r="L26" s="139"/>
    </row>
    <row r="27" spans="1:12" x14ac:dyDescent="0.4">
      <c r="A27" s="10" t="s">
        <v>451</v>
      </c>
      <c r="B27" s="11">
        <v>525</v>
      </c>
      <c r="C27" s="11" t="s">
        <v>6</v>
      </c>
      <c r="D27" s="12" t="s">
        <v>2</v>
      </c>
      <c r="E27" s="16" t="s">
        <v>165</v>
      </c>
      <c r="F27" s="17">
        <v>715</v>
      </c>
      <c r="G27" s="17" t="s">
        <v>502</v>
      </c>
      <c r="H27" s="17" t="s">
        <v>2</v>
      </c>
      <c r="I27" s="22" t="s">
        <v>175</v>
      </c>
      <c r="J27" s="23">
        <v>606</v>
      </c>
      <c r="K27" s="23" t="s">
        <v>191</v>
      </c>
      <c r="L27" s="24" t="s">
        <v>2</v>
      </c>
    </row>
    <row r="28" spans="1:12" ht="27" thickBot="1" x14ac:dyDescent="0.45">
      <c r="A28" s="13" t="s">
        <v>452</v>
      </c>
      <c r="B28" s="14">
        <v>25</v>
      </c>
      <c r="C28" s="14" t="s">
        <v>6</v>
      </c>
      <c r="D28" s="15" t="s">
        <v>12</v>
      </c>
      <c r="E28" s="16" t="s">
        <v>166</v>
      </c>
      <c r="F28" s="17">
        <v>100</v>
      </c>
      <c r="G28" s="17" t="s">
        <v>502</v>
      </c>
      <c r="H28" s="17" t="s">
        <v>2</v>
      </c>
      <c r="I28" s="25" t="s">
        <v>196</v>
      </c>
      <c r="J28" s="26">
        <v>150</v>
      </c>
      <c r="K28" s="26" t="s">
        <v>197</v>
      </c>
      <c r="L28" s="27" t="s">
        <v>2</v>
      </c>
    </row>
    <row r="29" spans="1:12" ht="27" thickBot="1" x14ac:dyDescent="0.45">
      <c r="A29" s="10" t="s">
        <v>388</v>
      </c>
      <c r="B29" s="11"/>
      <c r="C29" s="11">
        <f>SUM(B19:B28)</f>
        <v>3813</v>
      </c>
      <c r="D29" s="12">
        <f>C17+C29</f>
        <v>7255</v>
      </c>
      <c r="E29" s="19" t="s">
        <v>167</v>
      </c>
      <c r="F29" s="20">
        <v>500</v>
      </c>
      <c r="G29" s="17" t="s">
        <v>502</v>
      </c>
      <c r="H29" s="21" t="s">
        <v>18</v>
      </c>
      <c r="I29" s="22" t="s">
        <v>388</v>
      </c>
      <c r="J29" s="23"/>
      <c r="K29" s="23">
        <f>J27+J28</f>
        <v>756</v>
      </c>
      <c r="L29" s="24">
        <f>L25+K29</f>
        <v>10004</v>
      </c>
    </row>
    <row r="30" spans="1:12" ht="27" thickBot="1" x14ac:dyDescent="0.45">
      <c r="A30" s="140" t="s">
        <v>443</v>
      </c>
      <c r="B30" s="141"/>
      <c r="C30" s="141"/>
      <c r="D30" s="142"/>
      <c r="E30" s="86" t="s">
        <v>388</v>
      </c>
      <c r="F30" s="87"/>
      <c r="G30" s="87">
        <f>SUM(F27:F29)</f>
        <v>1315</v>
      </c>
      <c r="H30" s="88">
        <f>H25+G30</f>
        <v>7157</v>
      </c>
      <c r="I30" s="137" t="s">
        <v>449</v>
      </c>
      <c r="J30" s="138"/>
      <c r="K30" s="138"/>
      <c r="L30" s="139"/>
    </row>
    <row r="31" spans="1:12" ht="27" thickBot="1" x14ac:dyDescent="0.45">
      <c r="A31" s="10" t="s">
        <v>4</v>
      </c>
      <c r="B31" s="11">
        <v>239</v>
      </c>
      <c r="C31" s="11" t="s">
        <v>82</v>
      </c>
      <c r="D31" s="12" t="s">
        <v>2</v>
      </c>
      <c r="E31" s="19" t="s">
        <v>145</v>
      </c>
      <c r="F31" s="20">
        <f>SUM(F5:F30)</f>
        <v>7157</v>
      </c>
      <c r="G31" s="20"/>
      <c r="H31" s="20"/>
      <c r="I31" s="22" t="s">
        <v>175</v>
      </c>
      <c r="J31" s="23">
        <f>540+1701</f>
        <v>2241</v>
      </c>
      <c r="K31" s="23" t="s">
        <v>198</v>
      </c>
      <c r="L31" s="24" t="s">
        <v>2</v>
      </c>
    </row>
    <row r="32" spans="1:12" x14ac:dyDescent="0.4">
      <c r="A32" s="10" t="s">
        <v>85</v>
      </c>
      <c r="B32" s="11">
        <v>20</v>
      </c>
      <c r="C32" s="11" t="s">
        <v>82</v>
      </c>
      <c r="D32" s="12" t="s">
        <v>16</v>
      </c>
      <c r="I32" s="22" t="s">
        <v>200</v>
      </c>
      <c r="J32" s="23">
        <v>208</v>
      </c>
      <c r="K32" s="23" t="s">
        <v>201</v>
      </c>
      <c r="L32" s="24" t="s">
        <v>2</v>
      </c>
    </row>
    <row r="33" spans="1:12" ht="27" thickBot="1" x14ac:dyDescent="0.45">
      <c r="A33" s="10" t="s">
        <v>25</v>
      </c>
      <c r="B33" s="11">
        <v>125</v>
      </c>
      <c r="C33" s="11" t="s">
        <v>82</v>
      </c>
      <c r="D33" s="12" t="s">
        <v>26</v>
      </c>
      <c r="E33" s="1" t="s">
        <v>204</v>
      </c>
      <c r="F33" s="1">
        <f>B60+F31+J38</f>
        <v>34648</v>
      </c>
      <c r="I33" s="25" t="s">
        <v>202</v>
      </c>
      <c r="J33" s="26">
        <v>1500</v>
      </c>
      <c r="K33" s="26" t="s">
        <v>198</v>
      </c>
      <c r="L33" s="27" t="s">
        <v>18</v>
      </c>
    </row>
    <row r="34" spans="1:12" x14ac:dyDescent="0.4">
      <c r="A34" s="10" t="s">
        <v>103</v>
      </c>
      <c r="B34" s="11">
        <v>50</v>
      </c>
      <c r="C34" s="11" t="s">
        <v>82</v>
      </c>
      <c r="D34" s="12" t="s">
        <v>6</v>
      </c>
      <c r="I34" s="22" t="s">
        <v>388</v>
      </c>
      <c r="J34" s="23"/>
      <c r="K34" s="23">
        <f>SUM(J31:J33)</f>
        <v>3949</v>
      </c>
      <c r="L34" s="24">
        <f>L29+K34</f>
        <v>13953</v>
      </c>
    </row>
    <row r="35" spans="1:12" x14ac:dyDescent="0.4">
      <c r="A35" s="10" t="s">
        <v>112</v>
      </c>
      <c r="B35" s="11">
        <v>40</v>
      </c>
      <c r="C35" s="11" t="s">
        <v>82</v>
      </c>
      <c r="D35" s="12" t="s">
        <v>12</v>
      </c>
      <c r="I35" s="137" t="s">
        <v>450</v>
      </c>
      <c r="J35" s="138"/>
      <c r="K35" s="138"/>
      <c r="L35" s="139"/>
    </row>
    <row r="36" spans="1:12" ht="27" thickBot="1" x14ac:dyDescent="0.45">
      <c r="A36" s="10" t="s">
        <v>101</v>
      </c>
      <c r="B36" s="11">
        <v>50</v>
      </c>
      <c r="C36" s="11" t="s">
        <v>82</v>
      </c>
      <c r="D36" s="12" t="s">
        <v>28</v>
      </c>
      <c r="I36" s="25" t="s">
        <v>175</v>
      </c>
      <c r="J36" s="26">
        <f>150+542</f>
        <v>692</v>
      </c>
      <c r="K36" s="26" t="s">
        <v>201</v>
      </c>
      <c r="L36" s="27" t="s">
        <v>2</v>
      </c>
    </row>
    <row r="37" spans="1:12" ht="27" thickBot="1" x14ac:dyDescent="0.45">
      <c r="A37" s="10" t="s">
        <v>117</v>
      </c>
      <c r="B37" s="11">
        <v>125</v>
      </c>
      <c r="C37" s="11" t="s">
        <v>115</v>
      </c>
      <c r="D37" s="12" t="s">
        <v>2</v>
      </c>
      <c r="I37" s="93" t="s">
        <v>388</v>
      </c>
      <c r="J37" s="94"/>
      <c r="K37" s="94">
        <f>J36</f>
        <v>692</v>
      </c>
      <c r="L37" s="95">
        <f>L34+K37</f>
        <v>14645</v>
      </c>
    </row>
    <row r="38" spans="1:12" ht="27" thickBot="1" x14ac:dyDescent="0.45">
      <c r="A38" s="10" t="s">
        <v>116</v>
      </c>
      <c r="B38" s="11">
        <v>40</v>
      </c>
      <c r="C38" s="11" t="s">
        <v>115</v>
      </c>
      <c r="D38" s="12" t="s">
        <v>12</v>
      </c>
      <c r="I38" s="25" t="s">
        <v>171</v>
      </c>
      <c r="J38" s="26">
        <f>SUM(J5:J37)</f>
        <v>14645</v>
      </c>
      <c r="K38" s="26"/>
      <c r="L38" s="27"/>
    </row>
    <row r="39" spans="1:12" ht="27" thickBot="1" x14ac:dyDescent="0.45">
      <c r="A39" s="13" t="s">
        <v>118</v>
      </c>
      <c r="B39" s="14">
        <v>20</v>
      </c>
      <c r="C39" s="14" t="s">
        <v>115</v>
      </c>
      <c r="D39" s="15" t="s">
        <v>16</v>
      </c>
    </row>
    <row r="40" spans="1:12" x14ac:dyDescent="0.4">
      <c r="A40" s="10" t="s">
        <v>388</v>
      </c>
      <c r="B40" s="11"/>
      <c r="C40" s="11">
        <f>SUM(B31:B39)</f>
        <v>709</v>
      </c>
      <c r="D40" s="12">
        <f>D29+C40</f>
        <v>7964</v>
      </c>
    </row>
    <row r="41" spans="1:12" x14ac:dyDescent="0.4">
      <c r="A41" s="140" t="s">
        <v>444</v>
      </c>
      <c r="B41" s="141"/>
      <c r="C41" s="141"/>
      <c r="D41" s="142"/>
    </row>
    <row r="42" spans="1:12" x14ac:dyDescent="0.4">
      <c r="A42" s="10" t="s">
        <v>130</v>
      </c>
      <c r="B42" s="11">
        <v>50</v>
      </c>
      <c r="C42" s="11" t="s">
        <v>125</v>
      </c>
      <c r="D42" s="12" t="s">
        <v>2</v>
      </c>
    </row>
    <row r="43" spans="1:12" x14ac:dyDescent="0.4">
      <c r="A43" s="10" t="s">
        <v>129</v>
      </c>
      <c r="B43" s="11">
        <v>20</v>
      </c>
      <c r="C43" s="11" t="s">
        <v>125</v>
      </c>
      <c r="D43" s="12" t="s">
        <v>16</v>
      </c>
    </row>
    <row r="44" spans="1:12" x14ac:dyDescent="0.4">
      <c r="A44" s="10" t="s">
        <v>132</v>
      </c>
      <c r="B44" s="11">
        <v>493</v>
      </c>
      <c r="C44" s="11" t="s">
        <v>131</v>
      </c>
      <c r="D44" s="12" t="s">
        <v>2</v>
      </c>
    </row>
    <row r="45" spans="1:12" ht="27" thickBot="1" x14ac:dyDescent="0.45">
      <c r="A45" s="13" t="s">
        <v>133</v>
      </c>
      <c r="B45" s="14">
        <v>20</v>
      </c>
      <c r="C45" s="14" t="s">
        <v>131</v>
      </c>
      <c r="D45" s="15" t="s">
        <v>16</v>
      </c>
    </row>
    <row r="46" spans="1:12" x14ac:dyDescent="0.4">
      <c r="A46" s="10" t="s">
        <v>388</v>
      </c>
      <c r="B46" s="11"/>
      <c r="C46" s="11">
        <f>SUM(B42:B45)</f>
        <v>583</v>
      </c>
      <c r="D46" s="12">
        <f>D40+C46</f>
        <v>8547</v>
      </c>
    </row>
    <row r="47" spans="1:12" x14ac:dyDescent="0.4">
      <c r="A47" s="140" t="s">
        <v>561</v>
      </c>
      <c r="B47" s="141"/>
      <c r="C47" s="141"/>
      <c r="D47" s="142"/>
    </row>
    <row r="48" spans="1:12" x14ac:dyDescent="0.4">
      <c r="A48" s="10" t="s">
        <v>140</v>
      </c>
      <c r="B48" s="11">
        <v>1439</v>
      </c>
      <c r="C48" s="11" t="s">
        <v>137</v>
      </c>
      <c r="D48" s="12" t="s">
        <v>2</v>
      </c>
    </row>
    <row r="49" spans="1:4" x14ac:dyDescent="0.4">
      <c r="A49" s="10" t="s">
        <v>141</v>
      </c>
      <c r="B49" s="11">
        <v>200</v>
      </c>
      <c r="C49" s="11" t="s">
        <v>137</v>
      </c>
      <c r="D49" s="12" t="s">
        <v>12</v>
      </c>
    </row>
    <row r="50" spans="1:4" x14ac:dyDescent="0.4">
      <c r="A50" s="10" t="s">
        <v>84</v>
      </c>
      <c r="B50" s="11">
        <v>40</v>
      </c>
      <c r="C50" s="11" t="s">
        <v>137</v>
      </c>
      <c r="D50" s="12" t="s">
        <v>14</v>
      </c>
    </row>
    <row r="51" spans="1:4" x14ac:dyDescent="0.4">
      <c r="A51" s="10" t="s">
        <v>129</v>
      </c>
      <c r="B51" s="11">
        <v>20</v>
      </c>
      <c r="C51" s="11" t="s">
        <v>137</v>
      </c>
      <c r="D51" s="12" t="s">
        <v>16</v>
      </c>
    </row>
    <row r="52" spans="1:4" x14ac:dyDescent="0.4">
      <c r="A52" s="10" t="s">
        <v>142</v>
      </c>
      <c r="B52" s="11">
        <v>275</v>
      </c>
      <c r="C52" s="11" t="s">
        <v>143</v>
      </c>
      <c r="D52" s="12" t="s">
        <v>32</v>
      </c>
    </row>
    <row r="53" spans="1:4" x14ac:dyDescent="0.4">
      <c r="A53" s="10" t="s">
        <v>144</v>
      </c>
      <c r="B53" s="11">
        <v>60</v>
      </c>
      <c r="C53" s="11" t="s">
        <v>137</v>
      </c>
      <c r="D53" s="12" t="s">
        <v>2</v>
      </c>
    </row>
    <row r="54" spans="1:4" x14ac:dyDescent="0.4">
      <c r="A54" s="10" t="s">
        <v>361</v>
      </c>
      <c r="B54" s="11">
        <v>755</v>
      </c>
      <c r="C54" s="11" t="s">
        <v>137</v>
      </c>
      <c r="D54" s="12" t="s">
        <v>2</v>
      </c>
    </row>
    <row r="55" spans="1:4" ht="27" thickBot="1" x14ac:dyDescent="0.45">
      <c r="A55" s="13" t="s">
        <v>362</v>
      </c>
      <c r="B55" s="14">
        <v>1410</v>
      </c>
      <c r="C55" s="14" t="s">
        <v>137</v>
      </c>
      <c r="D55" s="15" t="s">
        <v>2</v>
      </c>
    </row>
    <row r="56" spans="1:4" x14ac:dyDescent="0.4">
      <c r="A56" s="10" t="s">
        <v>388</v>
      </c>
      <c r="B56" s="11"/>
      <c r="C56" s="11">
        <f>SUM(B48:B55)</f>
        <v>4199</v>
      </c>
      <c r="D56" s="12">
        <f>D46+C56</f>
        <v>12746</v>
      </c>
    </row>
    <row r="57" spans="1:4" x14ac:dyDescent="0.4">
      <c r="A57" s="140" t="s">
        <v>445</v>
      </c>
      <c r="B57" s="141"/>
      <c r="C57" s="141"/>
      <c r="D57" s="142"/>
    </row>
    <row r="58" spans="1:4" ht="27" thickBot="1" x14ac:dyDescent="0.45">
      <c r="A58" s="13" t="s">
        <v>169</v>
      </c>
      <c r="B58" s="14">
        <v>100</v>
      </c>
      <c r="C58" s="14" t="s">
        <v>369</v>
      </c>
      <c r="D58" s="15" t="s">
        <v>12</v>
      </c>
    </row>
    <row r="59" spans="1:4" ht="27" thickBot="1" x14ac:dyDescent="0.45">
      <c r="A59" s="76" t="s">
        <v>388</v>
      </c>
      <c r="B59" s="91"/>
      <c r="C59" s="91">
        <f>B58</f>
        <v>100</v>
      </c>
      <c r="D59" s="92">
        <f>D56+C59</f>
        <v>12846</v>
      </c>
    </row>
    <row r="60" spans="1:4" ht="27" thickBot="1" x14ac:dyDescent="0.45">
      <c r="A60" s="13" t="s">
        <v>99</v>
      </c>
      <c r="B60" s="14">
        <f>SUM(B5:B58)</f>
        <v>12846</v>
      </c>
      <c r="C60" s="14"/>
      <c r="D60" s="15"/>
    </row>
    <row r="62" spans="1:4" x14ac:dyDescent="0.4">
      <c r="C62" s="3"/>
      <c r="D62" s="3"/>
    </row>
    <row r="66" spans="1:4" x14ac:dyDescent="0.4">
      <c r="A66" s="151"/>
      <c r="B66" s="151"/>
      <c r="C66" s="151"/>
      <c r="D66" s="151"/>
    </row>
    <row r="69" spans="1:4" x14ac:dyDescent="0.4">
      <c r="A69" s="151"/>
      <c r="B69" s="151"/>
      <c r="C69" s="151"/>
      <c r="D69" s="151"/>
    </row>
    <row r="72" spans="1:4" x14ac:dyDescent="0.4">
      <c r="A72" s="151"/>
      <c r="B72" s="151"/>
      <c r="C72" s="151"/>
      <c r="D72" s="151"/>
    </row>
  </sheetData>
  <mergeCells count="22">
    <mergeCell ref="A66:D66"/>
    <mergeCell ref="A69:D69"/>
    <mergeCell ref="A72:D72"/>
    <mergeCell ref="I30:L30"/>
    <mergeCell ref="I35:L35"/>
    <mergeCell ref="A41:D41"/>
    <mergeCell ref="A30:D30"/>
    <mergeCell ref="A47:D47"/>
    <mergeCell ref="A57:D57"/>
    <mergeCell ref="I26:L26"/>
    <mergeCell ref="I8:L8"/>
    <mergeCell ref="A1:L1"/>
    <mergeCell ref="A2:D2"/>
    <mergeCell ref="E2:H2"/>
    <mergeCell ref="I2:L2"/>
    <mergeCell ref="A4:D4"/>
    <mergeCell ref="E4:H4"/>
    <mergeCell ref="I4:L4"/>
    <mergeCell ref="A18:D18"/>
    <mergeCell ref="E19:H19"/>
    <mergeCell ref="E10:H10"/>
    <mergeCell ref="E26:H2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CA70A-F220-40CF-BBF3-416CEFA82755}">
  <dimension ref="A1:R103"/>
  <sheetViews>
    <sheetView topLeftCell="D1" zoomScale="70" zoomScaleNormal="70" workbookViewId="0">
      <selection activeCell="F28" sqref="F28"/>
    </sheetView>
  </sheetViews>
  <sheetFormatPr defaultRowHeight="26.25" x14ac:dyDescent="0.4"/>
  <cols>
    <col min="1" max="1" width="133.5703125" style="1" bestFit="1" customWidth="1"/>
    <col min="2" max="2" width="14.85546875" style="1" bestFit="1" customWidth="1"/>
    <col min="3" max="3" width="135" style="1" bestFit="1" customWidth="1"/>
    <col min="4" max="4" width="58.7109375" style="1" bestFit="1" customWidth="1"/>
    <col min="5" max="5" width="96.7109375" style="1" bestFit="1" customWidth="1"/>
    <col min="6" max="6" width="14.85546875" style="1" bestFit="1" customWidth="1"/>
    <col min="7" max="7" width="22.140625" style="1" bestFit="1" customWidth="1"/>
    <col min="8" max="8" width="53.85546875" style="1" bestFit="1" customWidth="1"/>
    <col min="9" max="9" width="119.140625" style="1" bestFit="1" customWidth="1"/>
    <col min="10" max="10" width="14.85546875" style="1" bestFit="1" customWidth="1"/>
    <col min="11" max="11" width="47.42578125" style="1" bestFit="1" customWidth="1"/>
    <col min="12" max="12" width="58.7109375" style="1" bestFit="1" customWidth="1"/>
    <col min="13" max="16384" width="9.140625" style="1"/>
  </cols>
  <sheetData>
    <row r="1" spans="1:18" ht="27" thickBot="1" x14ac:dyDescent="0.45">
      <c r="A1" s="143" t="str">
        <f>"Icy Wilderness (total " &amp; F15 &amp; ")"</f>
        <v>Icy Wilderness (total 35801)</v>
      </c>
      <c r="B1" s="144"/>
      <c r="C1" s="144"/>
      <c r="D1" s="144"/>
      <c r="E1" s="144"/>
      <c r="F1" s="144"/>
      <c r="G1" s="144"/>
      <c r="H1" s="144"/>
      <c r="I1" s="144"/>
      <c r="J1" s="144"/>
      <c r="K1" s="144"/>
      <c r="L1" s="145"/>
      <c r="N1" s="2"/>
      <c r="P1" s="2"/>
      <c r="R1" s="2"/>
    </row>
    <row r="2" spans="1:18" ht="27" thickBot="1" x14ac:dyDescent="0.45">
      <c r="A2" s="122" t="s">
        <v>207</v>
      </c>
      <c r="B2" s="123"/>
      <c r="C2" s="123"/>
      <c r="D2" s="124"/>
      <c r="E2" s="125" t="s">
        <v>228</v>
      </c>
      <c r="F2" s="126"/>
      <c r="G2" s="126"/>
      <c r="H2" s="127"/>
      <c r="I2" s="128" t="s">
        <v>240</v>
      </c>
      <c r="J2" s="129"/>
      <c r="K2" s="129"/>
      <c r="L2" s="130"/>
    </row>
    <row r="3" spans="1:18" ht="27" thickBot="1" x14ac:dyDescent="0.45">
      <c r="A3" s="36" t="s">
        <v>0</v>
      </c>
      <c r="B3" s="37" t="s">
        <v>1</v>
      </c>
      <c r="C3" s="37" t="s">
        <v>19</v>
      </c>
      <c r="D3" s="38" t="s">
        <v>20</v>
      </c>
      <c r="E3" s="52" t="s">
        <v>0</v>
      </c>
      <c r="F3" s="39" t="s">
        <v>1</v>
      </c>
      <c r="G3" s="39" t="s">
        <v>19</v>
      </c>
      <c r="H3" s="40" t="s">
        <v>20</v>
      </c>
      <c r="I3" s="41" t="s">
        <v>0</v>
      </c>
      <c r="J3" s="42" t="s">
        <v>1</v>
      </c>
      <c r="K3" s="42" t="s">
        <v>19</v>
      </c>
      <c r="L3" s="43" t="s">
        <v>20</v>
      </c>
    </row>
    <row r="4" spans="1:18" x14ac:dyDescent="0.4">
      <c r="A4" s="131" t="s">
        <v>457</v>
      </c>
      <c r="B4" s="152"/>
      <c r="C4" s="152"/>
      <c r="D4" s="153"/>
      <c r="E4" s="146" t="s">
        <v>461</v>
      </c>
      <c r="F4" s="147"/>
      <c r="G4" s="147"/>
      <c r="H4" s="147"/>
      <c r="I4" s="148" t="s">
        <v>462</v>
      </c>
      <c r="J4" s="149"/>
      <c r="K4" s="149"/>
      <c r="L4" s="150"/>
    </row>
    <row r="5" spans="1:18" x14ac:dyDescent="0.4">
      <c r="A5" s="10" t="s">
        <v>25</v>
      </c>
      <c r="B5" s="45">
        <v>25</v>
      </c>
      <c r="C5" s="46" t="s">
        <v>2</v>
      </c>
      <c r="D5" s="47" t="s">
        <v>26</v>
      </c>
      <c r="E5" s="30" t="s">
        <v>237</v>
      </c>
      <c r="F5" s="31">
        <v>1813</v>
      </c>
      <c r="G5" s="32" t="s">
        <v>2</v>
      </c>
      <c r="H5" s="32" t="s">
        <v>2</v>
      </c>
      <c r="I5" s="55" t="s">
        <v>175</v>
      </c>
      <c r="J5" s="58">
        <v>1073</v>
      </c>
      <c r="K5" s="59" t="s">
        <v>2</v>
      </c>
      <c r="L5" s="60" t="s">
        <v>2</v>
      </c>
    </row>
    <row r="6" spans="1:18" ht="27" thickBot="1" x14ac:dyDescent="0.45">
      <c r="A6" s="13" t="s">
        <v>103</v>
      </c>
      <c r="B6" s="61">
        <v>80</v>
      </c>
      <c r="C6" s="78" t="s">
        <v>2</v>
      </c>
      <c r="D6" s="79" t="s">
        <v>6</v>
      </c>
      <c r="E6" s="30" t="s">
        <v>230</v>
      </c>
      <c r="F6" s="31">
        <v>500</v>
      </c>
      <c r="G6" s="32" t="s">
        <v>2</v>
      </c>
      <c r="H6" s="32" t="s">
        <v>231</v>
      </c>
      <c r="I6" s="55" t="s">
        <v>241</v>
      </c>
      <c r="J6" s="58">
        <v>200</v>
      </c>
      <c r="K6" s="59" t="s">
        <v>2</v>
      </c>
      <c r="L6" s="60" t="s">
        <v>242</v>
      </c>
    </row>
    <row r="7" spans="1:18" x14ac:dyDescent="0.4">
      <c r="A7" s="10" t="s">
        <v>388</v>
      </c>
      <c r="B7" s="45"/>
      <c r="C7" s="46">
        <f>B5+B6</f>
        <v>105</v>
      </c>
      <c r="D7" s="47"/>
      <c r="E7" s="30" t="s">
        <v>232</v>
      </c>
      <c r="F7" s="31">
        <v>500</v>
      </c>
      <c r="G7" s="32" t="s">
        <v>2</v>
      </c>
      <c r="H7" s="32" t="s">
        <v>231</v>
      </c>
      <c r="I7" s="55" t="s">
        <v>246</v>
      </c>
      <c r="J7" s="58">
        <v>180</v>
      </c>
      <c r="K7" s="59" t="s">
        <v>2</v>
      </c>
      <c r="L7" s="60" t="s">
        <v>12</v>
      </c>
    </row>
    <row r="8" spans="1:18" x14ac:dyDescent="0.4">
      <c r="A8" s="140" t="s">
        <v>458</v>
      </c>
      <c r="B8" s="141"/>
      <c r="C8" s="141"/>
      <c r="D8" s="142"/>
      <c r="E8" s="30" t="s">
        <v>233</v>
      </c>
      <c r="F8" s="31">
        <v>400</v>
      </c>
      <c r="G8" s="32" t="s">
        <v>2</v>
      </c>
      <c r="H8" s="32" t="s">
        <v>234</v>
      </c>
      <c r="I8" s="55" t="s">
        <v>243</v>
      </c>
      <c r="J8" s="58">
        <v>80</v>
      </c>
      <c r="K8" s="59" t="s">
        <v>2</v>
      </c>
      <c r="L8" s="60" t="s">
        <v>151</v>
      </c>
    </row>
    <row r="9" spans="1:18" x14ac:dyDescent="0.4">
      <c r="A9" s="10" t="s">
        <v>175</v>
      </c>
      <c r="B9" s="45">
        <v>415</v>
      </c>
      <c r="C9" s="46" t="s">
        <v>49</v>
      </c>
      <c r="D9" s="47" t="s">
        <v>2</v>
      </c>
      <c r="E9" s="30" t="s">
        <v>235</v>
      </c>
      <c r="F9" s="31">
        <v>200</v>
      </c>
      <c r="G9" s="32" t="s">
        <v>2</v>
      </c>
      <c r="H9" s="32" t="s">
        <v>236</v>
      </c>
      <c r="I9" s="55" t="s">
        <v>244</v>
      </c>
      <c r="J9" s="58">
        <v>75</v>
      </c>
      <c r="K9" s="59" t="s">
        <v>2</v>
      </c>
      <c r="L9" s="60" t="s">
        <v>220</v>
      </c>
    </row>
    <row r="10" spans="1:18" x14ac:dyDescent="0.4">
      <c r="A10" s="10" t="s">
        <v>209</v>
      </c>
      <c r="B10" s="45">
        <v>130</v>
      </c>
      <c r="C10" s="46" t="s">
        <v>210</v>
      </c>
      <c r="D10" s="47" t="s">
        <v>2</v>
      </c>
      <c r="E10" s="30" t="s">
        <v>364</v>
      </c>
      <c r="F10" s="31">
        <v>1143</v>
      </c>
      <c r="G10" s="17" t="s">
        <v>2</v>
      </c>
      <c r="H10" s="17" t="s">
        <v>2</v>
      </c>
      <c r="I10" s="55" t="s">
        <v>85</v>
      </c>
      <c r="J10" s="58">
        <v>20</v>
      </c>
      <c r="K10" s="59" t="s">
        <v>2</v>
      </c>
      <c r="L10" s="60" t="s">
        <v>16</v>
      </c>
    </row>
    <row r="11" spans="1:18" ht="27" thickBot="1" x14ac:dyDescent="0.45">
      <c r="A11" s="13" t="s">
        <v>216</v>
      </c>
      <c r="B11" s="61">
        <v>25</v>
      </c>
      <c r="C11" s="78" t="s">
        <v>6</v>
      </c>
      <c r="D11" s="79" t="s">
        <v>2</v>
      </c>
      <c r="E11" s="53" t="s">
        <v>365</v>
      </c>
      <c r="F11" s="54">
        <v>1075</v>
      </c>
      <c r="G11" s="20" t="s">
        <v>2</v>
      </c>
      <c r="H11" s="21" t="s">
        <v>2</v>
      </c>
      <c r="I11" s="56" t="s">
        <v>247</v>
      </c>
      <c r="J11" s="57">
        <v>1525</v>
      </c>
      <c r="K11" s="89" t="s">
        <v>2</v>
      </c>
      <c r="L11" s="90" t="s">
        <v>18</v>
      </c>
    </row>
    <row r="12" spans="1:18" ht="27" thickBot="1" x14ac:dyDescent="0.45">
      <c r="A12" s="10" t="s">
        <v>388</v>
      </c>
      <c r="B12" s="45"/>
      <c r="C12" s="46">
        <f>SUM(B9:B11)</f>
        <v>570</v>
      </c>
      <c r="D12" s="47">
        <f>C7+C12</f>
        <v>675</v>
      </c>
      <c r="E12" s="100" t="s">
        <v>388</v>
      </c>
      <c r="F12" s="101"/>
      <c r="G12" s="102">
        <f>SUM(F5:F11)</f>
        <v>5631</v>
      </c>
      <c r="H12" s="103"/>
      <c r="I12" s="55" t="s">
        <v>388</v>
      </c>
      <c r="J12" s="58"/>
      <c r="K12" s="59">
        <f>SUM(J5:J11)</f>
        <v>3153</v>
      </c>
      <c r="L12" s="60"/>
    </row>
    <row r="13" spans="1:18" ht="27" thickBot="1" x14ac:dyDescent="0.45">
      <c r="A13" s="140" t="s">
        <v>459</v>
      </c>
      <c r="B13" s="141"/>
      <c r="C13" s="141"/>
      <c r="D13" s="142"/>
      <c r="E13" s="53" t="s">
        <v>238</v>
      </c>
      <c r="F13" s="54">
        <f>SUM(F5:F12)</f>
        <v>5631</v>
      </c>
      <c r="G13" s="20"/>
      <c r="H13" s="20"/>
      <c r="I13" s="137" t="s">
        <v>463</v>
      </c>
      <c r="J13" s="138"/>
      <c r="K13" s="138"/>
      <c r="L13" s="139"/>
    </row>
    <row r="14" spans="1:18" x14ac:dyDescent="0.4">
      <c r="A14" s="10" t="s">
        <v>212</v>
      </c>
      <c r="B14" s="45">
        <v>1036</v>
      </c>
      <c r="C14" s="46" t="s">
        <v>6</v>
      </c>
      <c r="D14" s="47" t="s">
        <v>2</v>
      </c>
      <c r="I14" s="55" t="s">
        <v>175</v>
      </c>
      <c r="J14" s="58">
        <v>683</v>
      </c>
      <c r="K14" s="59" t="s">
        <v>249</v>
      </c>
      <c r="L14" s="60" t="s">
        <v>2</v>
      </c>
    </row>
    <row r="15" spans="1:18" x14ac:dyDescent="0.4">
      <c r="A15" s="10" t="s">
        <v>129</v>
      </c>
      <c r="B15" s="45">
        <v>100</v>
      </c>
      <c r="C15" s="46" t="s">
        <v>6</v>
      </c>
      <c r="D15" s="47" t="s">
        <v>16</v>
      </c>
      <c r="E15" s="1" t="s">
        <v>276</v>
      </c>
      <c r="F15" s="1">
        <f>B59+F13+J43</f>
        <v>35801</v>
      </c>
      <c r="I15" s="55" t="s">
        <v>241</v>
      </c>
      <c r="J15" s="58">
        <v>400</v>
      </c>
      <c r="K15" s="59" t="s">
        <v>249</v>
      </c>
      <c r="L15" s="60" t="s">
        <v>242</v>
      </c>
    </row>
    <row r="16" spans="1:18" x14ac:dyDescent="0.4">
      <c r="A16" s="10" t="s">
        <v>213</v>
      </c>
      <c r="B16" s="45">
        <v>175</v>
      </c>
      <c r="C16" s="46" t="s">
        <v>6</v>
      </c>
      <c r="D16" s="47" t="s">
        <v>214</v>
      </c>
      <c r="I16" s="55" t="s">
        <v>250</v>
      </c>
      <c r="J16" s="58">
        <v>60</v>
      </c>
      <c r="K16" s="59" t="s">
        <v>249</v>
      </c>
      <c r="L16" s="60" t="s">
        <v>12</v>
      </c>
    </row>
    <row r="17" spans="1:13" x14ac:dyDescent="0.4">
      <c r="A17" s="10" t="s">
        <v>215</v>
      </c>
      <c r="B17" s="45">
        <v>20</v>
      </c>
      <c r="C17" s="46" t="s">
        <v>6</v>
      </c>
      <c r="D17" s="47" t="s">
        <v>12</v>
      </c>
      <c r="I17" s="55" t="s">
        <v>251</v>
      </c>
      <c r="J17" s="58">
        <v>25</v>
      </c>
      <c r="K17" s="59" t="s">
        <v>252</v>
      </c>
      <c r="L17" s="60" t="s">
        <v>2</v>
      </c>
    </row>
    <row r="18" spans="1:13" x14ac:dyDescent="0.4">
      <c r="A18" s="10" t="s">
        <v>150</v>
      </c>
      <c r="B18" s="45">
        <v>40</v>
      </c>
      <c r="C18" s="46" t="s">
        <v>6</v>
      </c>
      <c r="D18" s="47" t="s">
        <v>151</v>
      </c>
      <c r="I18" s="55" t="s">
        <v>243</v>
      </c>
      <c r="J18" s="58">
        <v>20</v>
      </c>
      <c r="K18" s="59" t="s">
        <v>249</v>
      </c>
      <c r="L18" s="60" t="s">
        <v>151</v>
      </c>
    </row>
    <row r="19" spans="1:13" ht="27" thickBot="1" x14ac:dyDescent="0.45">
      <c r="A19" s="10" t="s">
        <v>218</v>
      </c>
      <c r="B19" s="45">
        <v>35</v>
      </c>
      <c r="C19" s="46" t="s">
        <v>6</v>
      </c>
      <c r="D19" s="47" t="s">
        <v>214</v>
      </c>
      <c r="I19" s="56" t="s">
        <v>85</v>
      </c>
      <c r="J19" s="57">
        <v>20</v>
      </c>
      <c r="K19" s="89" t="s">
        <v>249</v>
      </c>
      <c r="L19" s="90" t="s">
        <v>16</v>
      </c>
    </row>
    <row r="20" spans="1:13" x14ac:dyDescent="0.4">
      <c r="A20" s="10" t="s">
        <v>219</v>
      </c>
      <c r="B20" s="45">
        <v>50</v>
      </c>
      <c r="C20" s="46" t="s">
        <v>6</v>
      </c>
      <c r="D20" s="47" t="s">
        <v>220</v>
      </c>
      <c r="I20" s="55" t="s">
        <v>388</v>
      </c>
      <c r="J20" s="58"/>
      <c r="K20" s="59">
        <f>SUM(J14:J19)</f>
        <v>1208</v>
      </c>
      <c r="L20" s="60">
        <f>K12+K20</f>
        <v>4361</v>
      </c>
      <c r="M20" s="1" t="s">
        <v>466</v>
      </c>
    </row>
    <row r="21" spans="1:13" x14ac:dyDescent="0.4">
      <c r="A21" s="10" t="s">
        <v>361</v>
      </c>
      <c r="B21" s="45">
        <v>1906</v>
      </c>
      <c r="C21" s="46" t="s">
        <v>6</v>
      </c>
      <c r="D21" s="47" t="s">
        <v>2</v>
      </c>
      <c r="I21" s="137" t="s">
        <v>464</v>
      </c>
      <c r="J21" s="138"/>
      <c r="K21" s="138"/>
      <c r="L21" s="139"/>
    </row>
    <row r="22" spans="1:13" ht="27" thickBot="1" x14ac:dyDescent="0.45">
      <c r="A22" s="13" t="s">
        <v>362</v>
      </c>
      <c r="B22" s="61">
        <v>1931</v>
      </c>
      <c r="C22" s="78" t="s">
        <v>6</v>
      </c>
      <c r="D22" s="79" t="s">
        <v>2</v>
      </c>
      <c r="I22" s="55" t="s">
        <v>175</v>
      </c>
      <c r="J22" s="58">
        <f>1822+253</f>
        <v>2075</v>
      </c>
      <c r="K22" s="59" t="s">
        <v>254</v>
      </c>
      <c r="L22" s="60" t="s">
        <v>2</v>
      </c>
    </row>
    <row r="23" spans="1:13" x14ac:dyDescent="0.4">
      <c r="A23" s="10" t="s">
        <v>388</v>
      </c>
      <c r="B23" s="45"/>
      <c r="C23" s="46">
        <f>SUM(B14:B22)</f>
        <v>5293</v>
      </c>
      <c r="D23" s="47">
        <f>D12+C23</f>
        <v>5968</v>
      </c>
      <c r="I23" s="55" t="s">
        <v>255</v>
      </c>
      <c r="J23" s="58">
        <v>40</v>
      </c>
      <c r="K23" s="59" t="s">
        <v>254</v>
      </c>
      <c r="L23" s="60" t="s">
        <v>12</v>
      </c>
    </row>
    <row r="24" spans="1:13" x14ac:dyDescent="0.4">
      <c r="A24" s="140" t="s">
        <v>460</v>
      </c>
      <c r="B24" s="141"/>
      <c r="C24" s="141"/>
      <c r="D24" s="142"/>
      <c r="I24" s="55" t="s">
        <v>245</v>
      </c>
      <c r="J24" s="58">
        <v>50</v>
      </c>
      <c r="K24" s="59" t="s">
        <v>254</v>
      </c>
      <c r="L24" s="60" t="s">
        <v>18</v>
      </c>
    </row>
    <row r="25" spans="1:13" x14ac:dyDescent="0.4">
      <c r="A25" s="48" t="s">
        <v>37</v>
      </c>
      <c r="B25" s="45">
        <v>271</v>
      </c>
      <c r="C25" s="46" t="s">
        <v>221</v>
      </c>
      <c r="D25" s="47" t="s">
        <v>2</v>
      </c>
      <c r="I25" s="55" t="s">
        <v>129</v>
      </c>
      <c r="J25" s="58">
        <v>80</v>
      </c>
      <c r="K25" s="59" t="s">
        <v>254</v>
      </c>
      <c r="L25" s="60" t="s">
        <v>16</v>
      </c>
    </row>
    <row r="26" spans="1:13" x14ac:dyDescent="0.4">
      <c r="A26" s="48" t="s">
        <v>222</v>
      </c>
      <c r="B26" s="45">
        <v>20</v>
      </c>
      <c r="C26" s="46" t="s">
        <v>221</v>
      </c>
      <c r="D26" s="47" t="s">
        <v>12</v>
      </c>
      <c r="I26" s="55" t="s">
        <v>241</v>
      </c>
      <c r="J26" s="58">
        <v>225</v>
      </c>
      <c r="K26" s="59" t="s">
        <v>254</v>
      </c>
      <c r="L26" s="60" t="s">
        <v>242</v>
      </c>
    </row>
    <row r="27" spans="1:13" x14ac:dyDescent="0.4">
      <c r="A27" s="48" t="s">
        <v>129</v>
      </c>
      <c r="B27" s="45">
        <v>20</v>
      </c>
      <c r="C27" s="46" t="s">
        <v>221</v>
      </c>
      <c r="D27" s="47" t="s">
        <v>16</v>
      </c>
      <c r="I27" s="55" t="s">
        <v>256</v>
      </c>
      <c r="J27" s="58">
        <f>59871-59846</f>
        <v>25</v>
      </c>
      <c r="K27" s="59" t="s">
        <v>254</v>
      </c>
      <c r="L27" s="60" t="s">
        <v>77</v>
      </c>
    </row>
    <row r="28" spans="1:13" x14ac:dyDescent="0.4">
      <c r="A28" s="48" t="s">
        <v>223</v>
      </c>
      <c r="B28" s="45">
        <v>11</v>
      </c>
      <c r="C28" s="46" t="s">
        <v>224</v>
      </c>
      <c r="D28" s="47" t="s">
        <v>2</v>
      </c>
      <c r="I28" s="55" t="s">
        <v>260</v>
      </c>
      <c r="J28" s="58">
        <v>201</v>
      </c>
      <c r="K28" s="59" t="s">
        <v>254</v>
      </c>
      <c r="L28" s="60" t="s">
        <v>12</v>
      </c>
    </row>
    <row r="29" spans="1:13" x14ac:dyDescent="0.4">
      <c r="A29" s="48" t="s">
        <v>226</v>
      </c>
      <c r="B29" s="45">
        <v>630</v>
      </c>
      <c r="C29" s="46" t="s">
        <v>225</v>
      </c>
      <c r="D29" s="47" t="s">
        <v>2</v>
      </c>
      <c r="I29" s="55" t="s">
        <v>160</v>
      </c>
      <c r="J29" s="58">
        <v>20</v>
      </c>
      <c r="K29" s="59" t="s">
        <v>254</v>
      </c>
      <c r="L29" s="60" t="s">
        <v>14</v>
      </c>
    </row>
    <row r="30" spans="1:13" ht="27" thickBot="1" x14ac:dyDescent="0.45">
      <c r="A30" s="80" t="s">
        <v>227</v>
      </c>
      <c r="B30" s="61">
        <v>25</v>
      </c>
      <c r="C30" s="78" t="s">
        <v>225</v>
      </c>
      <c r="D30" s="79" t="s">
        <v>214</v>
      </c>
      <c r="I30" s="55" t="s">
        <v>259</v>
      </c>
      <c r="J30" s="58">
        <v>5000</v>
      </c>
      <c r="K30" s="59" t="s">
        <v>254</v>
      </c>
      <c r="L30" s="60" t="s">
        <v>2</v>
      </c>
    </row>
    <row r="31" spans="1:13" x14ac:dyDescent="0.4">
      <c r="A31" s="48" t="s">
        <v>388</v>
      </c>
      <c r="B31" s="45"/>
      <c r="C31" s="46">
        <f>SUM(B25:B30)</f>
        <v>977</v>
      </c>
      <c r="D31" s="47">
        <f>D23+C31</f>
        <v>6945</v>
      </c>
      <c r="I31" s="55" t="s">
        <v>261</v>
      </c>
      <c r="J31" s="58">
        <v>1500</v>
      </c>
      <c r="K31" s="59" t="s">
        <v>254</v>
      </c>
      <c r="L31" s="60" t="s">
        <v>69</v>
      </c>
    </row>
    <row r="32" spans="1:13" x14ac:dyDescent="0.4">
      <c r="A32" s="154" t="str">
        <f>_xlfn._LONGTEXT("---------------------------------------------------------------------------------------------------------------------------------------------------------------------------------------------------------------------------------------------------------------","---------------------")</f>
        <v>------------------------------------------------------------------------------------------------------------------------------------------------------------------------------------------------------------------------------------------------------------------------------------</v>
      </c>
      <c r="B32" s="155"/>
      <c r="C32" s="155"/>
      <c r="D32" s="156"/>
      <c r="I32" s="55" t="s">
        <v>263</v>
      </c>
      <c r="J32" s="58">
        <v>615</v>
      </c>
      <c r="K32" s="59" t="s">
        <v>262</v>
      </c>
      <c r="L32" s="60" t="s">
        <v>2</v>
      </c>
    </row>
    <row r="33" spans="1:12" x14ac:dyDescent="0.4">
      <c r="A33" s="140" t="s">
        <v>469</v>
      </c>
      <c r="B33" s="141"/>
      <c r="C33" s="141"/>
      <c r="D33" s="142"/>
      <c r="I33" s="55" t="s">
        <v>498</v>
      </c>
      <c r="J33" s="58">
        <v>800</v>
      </c>
      <c r="K33" s="59" t="s">
        <v>254</v>
      </c>
      <c r="L33" s="60" t="s">
        <v>2</v>
      </c>
    </row>
    <row r="34" spans="1:12" ht="27" thickBot="1" x14ac:dyDescent="0.45">
      <c r="A34" s="48" t="s">
        <v>265</v>
      </c>
      <c r="B34" s="45">
        <v>553</v>
      </c>
      <c r="C34" s="46" t="s">
        <v>274</v>
      </c>
      <c r="D34" s="47" t="s">
        <v>2</v>
      </c>
      <c r="I34" s="56" t="s">
        <v>499</v>
      </c>
      <c r="J34" s="57">
        <v>830</v>
      </c>
      <c r="K34" s="89" t="s">
        <v>254</v>
      </c>
      <c r="L34" s="90" t="s">
        <v>2</v>
      </c>
    </row>
    <row r="35" spans="1:12" x14ac:dyDescent="0.4">
      <c r="A35" s="48" t="s">
        <v>267</v>
      </c>
      <c r="B35" s="45">
        <v>175</v>
      </c>
      <c r="C35" s="46" t="s">
        <v>274</v>
      </c>
      <c r="D35" s="47" t="s">
        <v>214</v>
      </c>
      <c r="I35" s="55" t="s">
        <v>388</v>
      </c>
      <c r="J35" s="58"/>
      <c r="K35" s="59">
        <f>SUM(J22:J34)</f>
        <v>11461</v>
      </c>
      <c r="L35" s="60">
        <f>L20+K35</f>
        <v>15822</v>
      </c>
    </row>
    <row r="36" spans="1:12" x14ac:dyDescent="0.4">
      <c r="A36" s="48" t="s">
        <v>272</v>
      </c>
      <c r="B36" s="45">
        <v>1000</v>
      </c>
      <c r="C36" s="46" t="s">
        <v>274</v>
      </c>
      <c r="D36" s="47" t="s">
        <v>2</v>
      </c>
      <c r="I36" s="137" t="s">
        <v>468</v>
      </c>
      <c r="J36" s="138"/>
      <c r="K36" s="138"/>
      <c r="L36" s="139"/>
    </row>
    <row r="37" spans="1:12" ht="27" thickBot="1" x14ac:dyDescent="0.45">
      <c r="A37" s="80" t="s">
        <v>270</v>
      </c>
      <c r="B37" s="61">
        <v>20</v>
      </c>
      <c r="C37" s="78" t="s">
        <v>274</v>
      </c>
      <c r="D37" s="79" t="s">
        <v>16</v>
      </c>
      <c r="I37" s="55" t="s">
        <v>129</v>
      </c>
      <c r="J37" s="58">
        <v>20</v>
      </c>
      <c r="K37" s="59" t="s">
        <v>467</v>
      </c>
      <c r="L37" s="60" t="s">
        <v>16</v>
      </c>
    </row>
    <row r="38" spans="1:12" ht="27" thickBot="1" x14ac:dyDescent="0.45">
      <c r="A38" s="48" t="s">
        <v>388</v>
      </c>
      <c r="B38" s="45"/>
      <c r="C38" s="46">
        <f>SUM(B34:B37)</f>
        <v>1748</v>
      </c>
      <c r="D38" s="47"/>
      <c r="I38" s="56" t="s">
        <v>255</v>
      </c>
      <c r="J38" s="57">
        <v>60</v>
      </c>
      <c r="K38" s="89" t="s">
        <v>467</v>
      </c>
      <c r="L38" s="90" t="s">
        <v>12</v>
      </c>
    </row>
    <row r="39" spans="1:12" x14ac:dyDescent="0.4">
      <c r="A39" s="140" t="s">
        <v>470</v>
      </c>
      <c r="B39" s="141"/>
      <c r="C39" s="141"/>
      <c r="D39" s="142"/>
      <c r="I39" s="55" t="s">
        <v>388</v>
      </c>
      <c r="J39" s="58"/>
      <c r="K39" s="59">
        <f>J37+J38</f>
        <v>80</v>
      </c>
      <c r="L39" s="60">
        <f>L35+K39</f>
        <v>15902</v>
      </c>
    </row>
    <row r="40" spans="1:12" x14ac:dyDescent="0.4">
      <c r="A40" s="48" t="s">
        <v>270</v>
      </c>
      <c r="B40" s="45">
        <v>20</v>
      </c>
      <c r="C40" s="46" t="s">
        <v>529</v>
      </c>
      <c r="D40" s="47" t="s">
        <v>528</v>
      </c>
      <c r="I40" s="137" t="s">
        <v>465</v>
      </c>
      <c r="J40" s="138"/>
      <c r="K40" s="138"/>
      <c r="L40" s="139"/>
    </row>
    <row r="41" spans="1:12" ht="27" thickBot="1" x14ac:dyDescent="0.45">
      <c r="A41" s="80" t="s">
        <v>268</v>
      </c>
      <c r="B41" s="61">
        <v>40</v>
      </c>
      <c r="C41" s="78" t="s">
        <v>529</v>
      </c>
      <c r="D41" s="79" t="s">
        <v>528</v>
      </c>
      <c r="I41" s="56" t="s">
        <v>266</v>
      </c>
      <c r="J41" s="57">
        <f>73352-68852</f>
        <v>4500</v>
      </c>
      <c r="K41" s="89" t="s">
        <v>262</v>
      </c>
      <c r="L41" s="90" t="s">
        <v>2</v>
      </c>
    </row>
    <row r="42" spans="1:12" ht="27" thickBot="1" x14ac:dyDescent="0.45">
      <c r="A42" s="48" t="s">
        <v>388</v>
      </c>
      <c r="B42" s="45"/>
      <c r="C42" s="46">
        <f>B40+B41</f>
        <v>60</v>
      </c>
      <c r="D42" s="47">
        <f>C38+C42</f>
        <v>1808</v>
      </c>
      <c r="I42" s="25" t="s">
        <v>388</v>
      </c>
      <c r="J42" s="26"/>
      <c r="K42" s="26">
        <f>J41+L39</f>
        <v>20402</v>
      </c>
      <c r="L42" s="27"/>
    </row>
    <row r="43" spans="1:12" ht="27" thickBot="1" x14ac:dyDescent="0.45">
      <c r="A43" s="140" t="s">
        <v>472</v>
      </c>
      <c r="B43" s="141"/>
      <c r="C43" s="141"/>
      <c r="D43" s="142"/>
      <c r="I43" s="56" t="s">
        <v>239</v>
      </c>
      <c r="J43" s="57">
        <f>SUM(J5:J41)</f>
        <v>20402</v>
      </c>
      <c r="K43" s="26"/>
      <c r="L43" s="27"/>
    </row>
    <row r="44" spans="1:12" x14ac:dyDescent="0.4">
      <c r="A44" s="48" t="s">
        <v>175</v>
      </c>
      <c r="B44" s="45">
        <v>160</v>
      </c>
      <c r="C44" s="46" t="s">
        <v>530</v>
      </c>
      <c r="D44" s="47" t="s">
        <v>2</v>
      </c>
    </row>
    <row r="45" spans="1:12" x14ac:dyDescent="0.4">
      <c r="A45" s="48" t="s">
        <v>270</v>
      </c>
      <c r="B45" s="45">
        <v>20</v>
      </c>
      <c r="C45" s="46" t="s">
        <v>530</v>
      </c>
      <c r="D45" s="47" t="s">
        <v>528</v>
      </c>
    </row>
    <row r="46" spans="1:12" x14ac:dyDescent="0.4">
      <c r="A46" s="48" t="s">
        <v>268</v>
      </c>
      <c r="B46" s="45">
        <v>20</v>
      </c>
      <c r="C46" s="46" t="s">
        <v>530</v>
      </c>
      <c r="D46" s="47" t="s">
        <v>528</v>
      </c>
    </row>
    <row r="47" spans="1:12" ht="27" thickBot="1" x14ac:dyDescent="0.45">
      <c r="A47" s="80" t="s">
        <v>269</v>
      </c>
      <c r="B47" s="61">
        <v>20</v>
      </c>
      <c r="C47" s="78" t="s">
        <v>530</v>
      </c>
      <c r="D47" s="79" t="s">
        <v>2</v>
      </c>
    </row>
    <row r="48" spans="1:12" x14ac:dyDescent="0.4">
      <c r="A48" s="48" t="s">
        <v>388</v>
      </c>
      <c r="B48" s="45"/>
      <c r="C48" s="46">
        <f>SUM(B44:B47)</f>
        <v>220</v>
      </c>
      <c r="D48" s="47">
        <f>D42+C48</f>
        <v>2028</v>
      </c>
    </row>
    <row r="49" spans="1:8" x14ac:dyDescent="0.4">
      <c r="A49" s="140" t="s">
        <v>471</v>
      </c>
      <c r="B49" s="141"/>
      <c r="C49" s="141"/>
      <c r="D49" s="142"/>
    </row>
    <row r="50" spans="1:8" x14ac:dyDescent="0.4">
      <c r="A50" s="48" t="s">
        <v>265</v>
      </c>
      <c r="B50" s="45">
        <v>130</v>
      </c>
      <c r="C50" s="46" t="s">
        <v>531</v>
      </c>
      <c r="D50" s="47" t="s">
        <v>2</v>
      </c>
    </row>
    <row r="51" spans="1:8" x14ac:dyDescent="0.4">
      <c r="A51" s="48" t="s">
        <v>271</v>
      </c>
      <c r="B51" s="45">
        <v>50</v>
      </c>
      <c r="C51" s="46" t="s">
        <v>531</v>
      </c>
      <c r="D51" s="47" t="s">
        <v>2</v>
      </c>
    </row>
    <row r="52" spans="1:8" ht="27" thickBot="1" x14ac:dyDescent="0.45">
      <c r="A52" s="13" t="s">
        <v>150</v>
      </c>
      <c r="B52" s="61">
        <v>20</v>
      </c>
      <c r="C52" s="78" t="s">
        <v>531</v>
      </c>
      <c r="D52" s="79" t="s">
        <v>2</v>
      </c>
    </row>
    <row r="53" spans="1:8" x14ac:dyDescent="0.4">
      <c r="A53" s="48" t="s">
        <v>388</v>
      </c>
      <c r="B53" s="45"/>
      <c r="C53" s="46">
        <f>SUM(B50:B52)</f>
        <v>200</v>
      </c>
      <c r="D53" s="47">
        <f>D48+C53</f>
        <v>2228</v>
      </c>
    </row>
    <row r="54" spans="1:8" x14ac:dyDescent="0.4">
      <c r="A54" s="140" t="s">
        <v>473</v>
      </c>
      <c r="B54" s="141"/>
      <c r="C54" s="141"/>
      <c r="D54" s="142"/>
    </row>
    <row r="55" spans="1:8" x14ac:dyDescent="0.4">
      <c r="A55" s="48" t="s">
        <v>175</v>
      </c>
      <c r="B55" s="45">
        <v>295</v>
      </c>
      <c r="C55" s="46" t="s">
        <v>534</v>
      </c>
      <c r="D55" s="47" t="s">
        <v>2</v>
      </c>
    </row>
    <row r="56" spans="1:8" x14ac:dyDescent="0.4">
      <c r="A56" s="48" t="s">
        <v>267</v>
      </c>
      <c r="B56" s="45">
        <v>75</v>
      </c>
      <c r="C56" s="46" t="s">
        <v>534</v>
      </c>
      <c r="D56" s="47" t="s">
        <v>2</v>
      </c>
    </row>
    <row r="57" spans="1:8" ht="27" thickBot="1" x14ac:dyDescent="0.45">
      <c r="A57" s="80" t="s">
        <v>474</v>
      </c>
      <c r="B57" s="61">
        <v>225</v>
      </c>
      <c r="C57" s="78" t="s">
        <v>535</v>
      </c>
      <c r="D57" s="79" t="s">
        <v>2</v>
      </c>
      <c r="E57" s="6"/>
      <c r="F57" s="6"/>
      <c r="G57" s="6"/>
      <c r="H57" s="6"/>
    </row>
    <row r="58" spans="1:8" ht="27" thickBot="1" x14ac:dyDescent="0.45">
      <c r="A58" s="81" t="s">
        <v>388</v>
      </c>
      <c r="B58" s="82"/>
      <c r="C58" s="77">
        <f>SUM(B55:B57)</f>
        <v>595</v>
      </c>
      <c r="D58" s="83">
        <f>D53+C58</f>
        <v>2823</v>
      </c>
    </row>
    <row r="59" spans="1:8" ht="27" thickBot="1" x14ac:dyDescent="0.45">
      <c r="A59" s="13" t="s">
        <v>208</v>
      </c>
      <c r="B59" s="14">
        <f>SUM(B5:B57)</f>
        <v>9768</v>
      </c>
      <c r="C59" s="14"/>
      <c r="D59" s="15"/>
    </row>
    <row r="82" spans="1:12" x14ac:dyDescent="0.4">
      <c r="I82" s="6"/>
      <c r="J82" s="6"/>
      <c r="K82" s="6"/>
      <c r="L82" s="6"/>
    </row>
    <row r="84" spans="1:12" x14ac:dyDescent="0.4">
      <c r="I84" s="1" t="s">
        <v>171</v>
      </c>
      <c r="J84" s="1">
        <f>SUM(J5:J65)</f>
        <v>40804</v>
      </c>
    </row>
    <row r="89" spans="1:12" x14ac:dyDescent="0.4">
      <c r="A89" s="6"/>
      <c r="B89" s="6"/>
      <c r="C89" s="6"/>
      <c r="D89" s="6"/>
    </row>
    <row r="91" spans="1:12" x14ac:dyDescent="0.4">
      <c r="A91" s="1" t="s">
        <v>99</v>
      </c>
      <c r="B91" s="1">
        <f>SUM(B5:B89)</f>
        <v>19536</v>
      </c>
    </row>
    <row r="93" spans="1:12" x14ac:dyDescent="0.4">
      <c r="A93" s="1" t="s">
        <v>204</v>
      </c>
      <c r="B93" s="1">
        <f>B91+F59+J84</f>
        <v>60340</v>
      </c>
      <c r="C93" s="3"/>
      <c r="D93" s="3"/>
    </row>
    <row r="94" spans="1:12" x14ac:dyDescent="0.4">
      <c r="A94" s="1" t="s">
        <v>205</v>
      </c>
      <c r="B94" s="1">
        <f>'Dragon Kingdom'!F36+B93</f>
        <v>82287</v>
      </c>
    </row>
    <row r="97" spans="1:4" x14ac:dyDescent="0.4">
      <c r="A97" s="151"/>
      <c r="B97" s="151"/>
      <c r="C97" s="151"/>
      <c r="D97" s="151"/>
    </row>
    <row r="100" spans="1:4" x14ac:dyDescent="0.4">
      <c r="A100" s="151"/>
      <c r="B100" s="151"/>
      <c r="C100" s="151"/>
      <c r="D100" s="151"/>
    </row>
    <row r="103" spans="1:4" x14ac:dyDescent="0.4">
      <c r="A103" s="151"/>
      <c r="B103" s="151"/>
      <c r="C103" s="151"/>
      <c r="D103" s="151"/>
    </row>
  </sheetData>
  <mergeCells count="23">
    <mergeCell ref="A54:D54"/>
    <mergeCell ref="A97:D97"/>
    <mergeCell ref="A100:D100"/>
    <mergeCell ref="A103:D103"/>
    <mergeCell ref="A33:D33"/>
    <mergeCell ref="A39:D39"/>
    <mergeCell ref="I40:L40"/>
    <mergeCell ref="A43:D43"/>
    <mergeCell ref="A49:D49"/>
    <mergeCell ref="I36:L36"/>
    <mergeCell ref="A8:D8"/>
    <mergeCell ref="A13:D13"/>
    <mergeCell ref="I13:L13"/>
    <mergeCell ref="A24:D24"/>
    <mergeCell ref="I21:L21"/>
    <mergeCell ref="A32:D32"/>
    <mergeCell ref="A1:L1"/>
    <mergeCell ref="A2:D2"/>
    <mergeCell ref="E2:H2"/>
    <mergeCell ref="I2:L2"/>
    <mergeCell ref="A4:D4"/>
    <mergeCell ref="E4:H4"/>
    <mergeCell ref="I4:L4"/>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A9F32-D941-4898-9EDE-F9D7C61B01F1}">
  <dimension ref="A1:T77"/>
  <sheetViews>
    <sheetView topLeftCell="I1" zoomScale="70" zoomScaleNormal="70" workbookViewId="0">
      <selection activeCell="R26" sqref="R26"/>
    </sheetView>
  </sheetViews>
  <sheetFormatPr defaultRowHeight="26.25" x14ac:dyDescent="0.4"/>
  <cols>
    <col min="1" max="1" width="118.28515625" style="1" bestFit="1" customWidth="1"/>
    <col min="2" max="2" width="17.85546875" style="1" bestFit="1" customWidth="1"/>
    <col min="3" max="3" width="36" style="1" bestFit="1" customWidth="1"/>
    <col min="4" max="4" width="57.425781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49.140625" style="1" bestFit="1" customWidth="1"/>
    <col min="13" max="13" width="100.7109375" style="1" bestFit="1" customWidth="1"/>
    <col min="14" max="14" width="14.42578125" style="1" bestFit="1" customWidth="1"/>
    <col min="15" max="15" width="46.85546875" style="1" bestFit="1" customWidth="1"/>
    <col min="16" max="16" width="43.5703125" style="1" bestFit="1" customWidth="1"/>
    <col min="17" max="17" width="44.85546875" style="1" bestFit="1" customWidth="1"/>
    <col min="18" max="18" width="14.85546875" style="1" bestFit="1" customWidth="1"/>
    <col min="19" max="19" width="21" style="1" bestFit="1" customWidth="1"/>
    <col min="20" max="20" width="25.5703125" style="1" bestFit="1" customWidth="1"/>
    <col min="21" max="22" width="12" style="1" bestFit="1" customWidth="1"/>
    <col min="23" max="16384" width="9.140625" style="1"/>
  </cols>
  <sheetData>
    <row r="1" spans="1:20" ht="27" thickBot="1" x14ac:dyDescent="0.45">
      <c r="A1" s="119" t="str">
        <f>"Volcanic Isle (total " &amp; F33 &amp; ")"</f>
        <v>Volcanic Isle (total 49306)</v>
      </c>
      <c r="B1" s="120"/>
      <c r="C1" s="120"/>
      <c r="D1" s="120"/>
      <c r="E1" s="120"/>
      <c r="F1" s="120"/>
      <c r="G1" s="120"/>
      <c r="H1" s="120"/>
      <c r="I1" s="120"/>
      <c r="J1" s="120"/>
      <c r="K1" s="120"/>
      <c r="L1" s="120"/>
      <c r="M1" s="120"/>
      <c r="N1" s="120"/>
      <c r="O1" s="120"/>
      <c r="P1" s="120"/>
      <c r="Q1" s="120"/>
      <c r="R1" s="120"/>
      <c r="S1" s="120"/>
      <c r="T1" s="121"/>
    </row>
    <row r="2" spans="1:20" ht="27" thickBot="1" x14ac:dyDescent="0.45">
      <c r="A2" s="122" t="s">
        <v>277</v>
      </c>
      <c r="B2" s="123"/>
      <c r="C2" s="123"/>
      <c r="D2" s="124"/>
      <c r="E2" s="125" t="s">
        <v>291</v>
      </c>
      <c r="F2" s="126"/>
      <c r="G2" s="126"/>
      <c r="H2" s="127"/>
      <c r="I2" s="128" t="s">
        <v>323</v>
      </c>
      <c r="J2" s="129"/>
      <c r="K2" s="129"/>
      <c r="L2" s="130"/>
      <c r="M2" s="157" t="s">
        <v>327</v>
      </c>
      <c r="N2" s="158"/>
      <c r="O2" s="158"/>
      <c r="P2" s="159"/>
      <c r="Q2" s="122" t="s">
        <v>350</v>
      </c>
      <c r="R2" s="123"/>
      <c r="S2" s="123"/>
      <c r="T2" s="124"/>
    </row>
    <row r="3" spans="1:20" ht="27" thickBot="1" x14ac:dyDescent="0.45">
      <c r="A3" s="7" t="s">
        <v>0</v>
      </c>
      <c r="B3" s="8" t="s">
        <v>1</v>
      </c>
      <c r="C3" s="8" t="s">
        <v>19</v>
      </c>
      <c r="D3" s="9" t="s">
        <v>20</v>
      </c>
      <c r="E3" s="44" t="s">
        <v>0</v>
      </c>
      <c r="F3" s="28" t="s">
        <v>1</v>
      </c>
      <c r="G3" s="28" t="s">
        <v>19</v>
      </c>
      <c r="H3" s="29" t="s">
        <v>20</v>
      </c>
      <c r="I3" s="33" t="s">
        <v>0</v>
      </c>
      <c r="J3" s="34" t="s">
        <v>1</v>
      </c>
      <c r="K3" s="34" t="s">
        <v>19</v>
      </c>
      <c r="L3" s="35" t="s">
        <v>20</v>
      </c>
      <c r="M3" s="62" t="s">
        <v>0</v>
      </c>
      <c r="N3" s="63" t="s">
        <v>1</v>
      </c>
      <c r="O3" s="63" t="s">
        <v>19</v>
      </c>
      <c r="P3" s="64" t="s">
        <v>20</v>
      </c>
      <c r="Q3" s="7" t="s">
        <v>0</v>
      </c>
      <c r="R3" s="8" t="s">
        <v>1</v>
      </c>
      <c r="S3" s="8" t="s">
        <v>19</v>
      </c>
      <c r="T3" s="9" t="s">
        <v>20</v>
      </c>
    </row>
    <row r="4" spans="1:20" x14ac:dyDescent="0.4">
      <c r="A4" s="131" t="s">
        <v>476</v>
      </c>
      <c r="B4" s="132"/>
      <c r="C4" s="132"/>
      <c r="D4" s="133"/>
      <c r="E4" s="146" t="s">
        <v>479</v>
      </c>
      <c r="F4" s="147"/>
      <c r="G4" s="147"/>
      <c r="H4" s="147"/>
      <c r="I4" s="148" t="s">
        <v>492</v>
      </c>
      <c r="J4" s="149"/>
      <c r="K4" s="149"/>
      <c r="L4" s="149"/>
      <c r="M4" s="160" t="s">
        <v>486</v>
      </c>
      <c r="N4" s="161"/>
      <c r="O4" s="161"/>
      <c r="P4" s="162"/>
      <c r="Q4" s="131" t="s">
        <v>491</v>
      </c>
      <c r="R4" s="132"/>
      <c r="S4" s="132"/>
      <c r="T4" s="133"/>
    </row>
    <row r="5" spans="1:20" ht="27" thickBot="1" x14ac:dyDescent="0.45">
      <c r="A5" s="48" t="s">
        <v>100</v>
      </c>
      <c r="B5" s="45">
        <v>263</v>
      </c>
      <c r="C5" s="46" t="s">
        <v>2</v>
      </c>
      <c r="D5" s="47" t="s">
        <v>2</v>
      </c>
      <c r="E5" s="30" t="s">
        <v>175</v>
      </c>
      <c r="F5" s="31">
        <v>572</v>
      </c>
      <c r="G5" s="32" t="s">
        <v>2</v>
      </c>
      <c r="H5" s="32" t="s">
        <v>2</v>
      </c>
      <c r="I5" s="55" t="s">
        <v>175</v>
      </c>
      <c r="J5" s="58">
        <f>695+75</f>
        <v>770</v>
      </c>
      <c r="K5" s="59" t="s">
        <v>2</v>
      </c>
      <c r="L5" s="59" t="s">
        <v>2</v>
      </c>
      <c r="M5" s="65" t="s">
        <v>265</v>
      </c>
      <c r="N5" s="66">
        <f>690+50</f>
        <v>740</v>
      </c>
      <c r="O5" s="67" t="s">
        <v>2</v>
      </c>
      <c r="P5" s="68" t="s">
        <v>2</v>
      </c>
      <c r="Q5" s="80" t="s">
        <v>265</v>
      </c>
      <c r="R5" s="61">
        <v>1083</v>
      </c>
      <c r="S5" s="78" t="s">
        <v>2</v>
      </c>
      <c r="T5" s="79" t="s">
        <v>2</v>
      </c>
    </row>
    <row r="6" spans="1:20" x14ac:dyDescent="0.4">
      <c r="A6" s="48" t="s">
        <v>25</v>
      </c>
      <c r="B6" s="45">
        <v>350</v>
      </c>
      <c r="C6" s="46" t="s">
        <v>2</v>
      </c>
      <c r="D6" s="47" t="s">
        <v>26</v>
      </c>
      <c r="E6" s="30" t="s">
        <v>293</v>
      </c>
      <c r="F6" s="31">
        <v>50</v>
      </c>
      <c r="G6" s="32" t="s">
        <v>2</v>
      </c>
      <c r="H6" s="32" t="s">
        <v>242</v>
      </c>
      <c r="I6" s="55" t="s">
        <v>316</v>
      </c>
      <c r="J6" s="58">
        <v>50</v>
      </c>
      <c r="K6" s="59" t="s">
        <v>32</v>
      </c>
      <c r="L6" s="59" t="s">
        <v>2</v>
      </c>
      <c r="M6" s="65" t="s">
        <v>330</v>
      </c>
      <c r="N6" s="66">
        <v>75</v>
      </c>
      <c r="O6" s="67" t="s">
        <v>2</v>
      </c>
      <c r="P6" s="68" t="s">
        <v>12</v>
      </c>
      <c r="Q6" s="48" t="s">
        <v>388</v>
      </c>
      <c r="R6" s="45"/>
      <c r="S6" s="46">
        <f>R5</f>
        <v>1083</v>
      </c>
      <c r="T6" s="47"/>
    </row>
    <row r="7" spans="1:20" x14ac:dyDescent="0.4">
      <c r="A7" s="48" t="s">
        <v>27</v>
      </c>
      <c r="B7" s="45">
        <v>300</v>
      </c>
      <c r="C7" s="46" t="s">
        <v>2</v>
      </c>
      <c r="D7" s="47" t="s">
        <v>28</v>
      </c>
      <c r="E7" s="30" t="s">
        <v>294</v>
      </c>
      <c r="F7" s="31">
        <v>500</v>
      </c>
      <c r="G7" s="32" t="s">
        <v>2</v>
      </c>
      <c r="H7" s="32" t="s">
        <v>18</v>
      </c>
      <c r="I7" s="55" t="s">
        <v>269</v>
      </c>
      <c r="J7" s="58">
        <v>20</v>
      </c>
      <c r="K7" s="59" t="s">
        <v>2</v>
      </c>
      <c r="L7" s="59" t="s">
        <v>12</v>
      </c>
      <c r="M7" s="65" t="s">
        <v>337</v>
      </c>
      <c r="N7" s="66">
        <v>60</v>
      </c>
      <c r="O7" s="67" t="s">
        <v>2</v>
      </c>
      <c r="P7" s="68" t="s">
        <v>331</v>
      </c>
      <c r="Q7" s="140" t="s">
        <v>494</v>
      </c>
      <c r="R7" s="141"/>
      <c r="S7" s="141"/>
      <c r="T7" s="142"/>
    </row>
    <row r="8" spans="1:20" ht="27" thickBot="1" x14ac:dyDescent="0.45">
      <c r="A8" s="48" t="s">
        <v>281</v>
      </c>
      <c r="B8" s="45">
        <v>30</v>
      </c>
      <c r="C8" s="46" t="s">
        <v>2</v>
      </c>
      <c r="D8" s="47" t="s">
        <v>6</v>
      </c>
      <c r="E8" s="53" t="s">
        <v>295</v>
      </c>
      <c r="F8" s="54">
        <v>1500</v>
      </c>
      <c r="G8" s="84" t="s">
        <v>2</v>
      </c>
      <c r="H8" s="85" t="s">
        <v>69</v>
      </c>
      <c r="I8" s="55" t="s">
        <v>312</v>
      </c>
      <c r="J8" s="58">
        <v>25</v>
      </c>
      <c r="K8" s="59" t="s">
        <v>2</v>
      </c>
      <c r="L8" s="59" t="s">
        <v>18</v>
      </c>
      <c r="M8" s="65" t="s">
        <v>332</v>
      </c>
      <c r="N8" s="66">
        <v>100</v>
      </c>
      <c r="O8" s="67" t="s">
        <v>32</v>
      </c>
      <c r="P8" s="68" t="s">
        <v>2</v>
      </c>
      <c r="Q8" s="48" t="s">
        <v>265</v>
      </c>
      <c r="R8" s="45">
        <v>680</v>
      </c>
      <c r="S8" s="46" t="s">
        <v>2</v>
      </c>
      <c r="T8" s="47" t="s">
        <v>2</v>
      </c>
    </row>
    <row r="9" spans="1:20" ht="27" thickBot="1" x14ac:dyDescent="0.45">
      <c r="A9" s="48" t="s">
        <v>29</v>
      </c>
      <c r="B9" s="45">
        <v>350</v>
      </c>
      <c r="C9" s="46" t="s">
        <v>2</v>
      </c>
      <c r="D9" s="47" t="s">
        <v>30</v>
      </c>
      <c r="E9" s="30" t="s">
        <v>388</v>
      </c>
      <c r="F9" s="31"/>
      <c r="G9" s="32">
        <f>SUM(F5:F8)</f>
        <v>2622</v>
      </c>
      <c r="H9" s="32"/>
      <c r="I9" s="55" t="s">
        <v>313</v>
      </c>
      <c r="J9" s="58">
        <v>25</v>
      </c>
      <c r="K9" s="59" t="s">
        <v>32</v>
      </c>
      <c r="L9" s="59" t="s">
        <v>18</v>
      </c>
      <c r="M9" s="65" t="s">
        <v>338</v>
      </c>
      <c r="N9" s="66">
        <v>50</v>
      </c>
      <c r="O9" s="67" t="s">
        <v>2</v>
      </c>
      <c r="P9" s="68" t="s">
        <v>242</v>
      </c>
      <c r="Q9" s="80" t="s">
        <v>354</v>
      </c>
      <c r="R9" s="61">
        <v>70</v>
      </c>
      <c r="S9" s="78" t="s">
        <v>18</v>
      </c>
      <c r="T9" s="79" t="s">
        <v>2</v>
      </c>
    </row>
    <row r="10" spans="1:20" ht="27" thickBot="1" x14ac:dyDescent="0.45">
      <c r="A10" s="48" t="s">
        <v>241</v>
      </c>
      <c r="B10" s="45">
        <v>375</v>
      </c>
      <c r="C10" s="46" t="s">
        <v>2</v>
      </c>
      <c r="D10" s="47" t="s">
        <v>242</v>
      </c>
      <c r="E10" s="134" t="s">
        <v>483</v>
      </c>
      <c r="F10" s="135"/>
      <c r="G10" s="135"/>
      <c r="H10" s="135"/>
      <c r="I10" s="55" t="s">
        <v>314</v>
      </c>
      <c r="J10" s="58">
        <v>100</v>
      </c>
      <c r="K10" s="59" t="s">
        <v>2</v>
      </c>
      <c r="L10" s="59" t="s">
        <v>32</v>
      </c>
      <c r="M10" s="97" t="s">
        <v>241</v>
      </c>
      <c r="N10" s="73">
        <v>100</v>
      </c>
      <c r="O10" s="98" t="s">
        <v>2</v>
      </c>
      <c r="P10" s="99" t="s">
        <v>242</v>
      </c>
      <c r="Q10" s="48" t="s">
        <v>388</v>
      </c>
      <c r="R10" s="45"/>
      <c r="S10" s="46">
        <f>R8+R9</f>
        <v>750</v>
      </c>
      <c r="T10" s="47">
        <f>S6+S10</f>
        <v>1833</v>
      </c>
    </row>
    <row r="11" spans="1:20" x14ac:dyDescent="0.4">
      <c r="A11" s="48" t="s">
        <v>280</v>
      </c>
      <c r="B11" s="45">
        <v>1000</v>
      </c>
      <c r="C11" s="46" t="s">
        <v>2</v>
      </c>
      <c r="D11" s="47" t="s">
        <v>18</v>
      </c>
      <c r="E11" s="16" t="s">
        <v>480</v>
      </c>
      <c r="F11" s="31">
        <v>50</v>
      </c>
      <c r="G11" s="32" t="s">
        <v>296</v>
      </c>
      <c r="H11" s="32" t="s">
        <v>2</v>
      </c>
      <c r="I11" s="55" t="s">
        <v>315</v>
      </c>
      <c r="J11" s="58">
        <v>500</v>
      </c>
      <c r="K11" s="59" t="s">
        <v>2</v>
      </c>
      <c r="L11" s="59" t="s">
        <v>18</v>
      </c>
      <c r="M11" s="65" t="s">
        <v>388</v>
      </c>
      <c r="N11" s="66"/>
      <c r="O11" s="67">
        <f>SUM(N5:N10)</f>
        <v>1125</v>
      </c>
      <c r="P11" s="68"/>
      <c r="Q11" s="140" t="s">
        <v>495</v>
      </c>
      <c r="R11" s="141"/>
      <c r="S11" s="141"/>
      <c r="T11" s="142"/>
    </row>
    <row r="12" spans="1:20" ht="27" thickBot="1" x14ac:dyDescent="0.45">
      <c r="A12" s="48" t="s">
        <v>215</v>
      </c>
      <c r="B12" s="45">
        <v>140</v>
      </c>
      <c r="C12" s="46" t="s">
        <v>2</v>
      </c>
      <c r="D12" s="47" t="s">
        <v>12</v>
      </c>
      <c r="E12" s="16" t="s">
        <v>481</v>
      </c>
      <c r="F12" s="31">
        <v>131</v>
      </c>
      <c r="G12" s="32" t="s">
        <v>296</v>
      </c>
      <c r="H12" s="32" t="s">
        <v>2</v>
      </c>
      <c r="I12" s="55" t="s">
        <v>317</v>
      </c>
      <c r="J12" s="58">
        <v>50</v>
      </c>
      <c r="K12" s="59" t="s">
        <v>32</v>
      </c>
      <c r="L12" s="59" t="s">
        <v>2</v>
      </c>
      <c r="M12" s="163" t="s">
        <v>487</v>
      </c>
      <c r="N12" s="164"/>
      <c r="O12" s="164"/>
      <c r="P12" s="165"/>
      <c r="Q12" s="80" t="s">
        <v>265</v>
      </c>
      <c r="R12" s="61">
        <v>1119</v>
      </c>
      <c r="S12" s="78" t="s">
        <v>2</v>
      </c>
      <c r="T12" s="79" t="s">
        <v>2</v>
      </c>
    </row>
    <row r="13" spans="1:20" x14ac:dyDescent="0.4">
      <c r="A13" s="48" t="s">
        <v>243</v>
      </c>
      <c r="B13" s="45">
        <v>80</v>
      </c>
      <c r="C13" s="46" t="s">
        <v>2</v>
      </c>
      <c r="D13" s="47" t="s">
        <v>151</v>
      </c>
      <c r="E13" s="16" t="s">
        <v>482</v>
      </c>
      <c r="F13" s="31">
        <v>25</v>
      </c>
      <c r="G13" s="32" t="s">
        <v>296</v>
      </c>
      <c r="H13" s="32" t="s">
        <v>18</v>
      </c>
      <c r="I13" s="55" t="s">
        <v>318</v>
      </c>
      <c r="J13" s="58">
        <v>20</v>
      </c>
      <c r="K13" s="59" t="s">
        <v>32</v>
      </c>
      <c r="L13" s="59" t="s">
        <v>16</v>
      </c>
      <c r="M13" s="65" t="s">
        <v>334</v>
      </c>
      <c r="N13" s="66">
        <v>470</v>
      </c>
      <c r="O13" s="67" t="s">
        <v>82</v>
      </c>
      <c r="P13" s="68" t="s">
        <v>242</v>
      </c>
      <c r="Q13" s="48" t="s">
        <v>388</v>
      </c>
      <c r="R13" s="45"/>
      <c r="S13" s="46">
        <f>R12</f>
        <v>1119</v>
      </c>
      <c r="T13" s="47">
        <f>T10+S13</f>
        <v>2952</v>
      </c>
    </row>
    <row r="14" spans="1:20" ht="27" thickBot="1" x14ac:dyDescent="0.45">
      <c r="A14" s="48" t="s">
        <v>85</v>
      </c>
      <c r="B14" s="45">
        <v>60</v>
      </c>
      <c r="C14" s="46" t="s">
        <v>2</v>
      </c>
      <c r="D14" s="47" t="s">
        <v>16</v>
      </c>
      <c r="E14" s="16" t="s">
        <v>265</v>
      </c>
      <c r="F14" s="31">
        <v>1548</v>
      </c>
      <c r="G14" s="32" t="s">
        <v>296</v>
      </c>
      <c r="H14" s="32" t="s">
        <v>2</v>
      </c>
      <c r="I14" s="56" t="s">
        <v>319</v>
      </c>
      <c r="J14" s="57">
        <v>40</v>
      </c>
      <c r="K14" s="89" t="s">
        <v>2</v>
      </c>
      <c r="L14" s="90" t="s">
        <v>16</v>
      </c>
      <c r="M14" s="65" t="s">
        <v>330</v>
      </c>
      <c r="N14" s="66">
        <v>125</v>
      </c>
      <c r="O14" s="67" t="s">
        <v>82</v>
      </c>
      <c r="P14" s="68" t="s">
        <v>12</v>
      </c>
      <c r="Q14" s="140" t="s">
        <v>496</v>
      </c>
      <c r="R14" s="141"/>
      <c r="S14" s="141"/>
      <c r="T14" s="142"/>
    </row>
    <row r="15" spans="1:20" ht="27" thickBot="1" x14ac:dyDescent="0.45">
      <c r="A15" s="80" t="s">
        <v>284</v>
      </c>
      <c r="B15" s="61">
        <v>100</v>
      </c>
      <c r="C15" s="78" t="s">
        <v>89</v>
      </c>
      <c r="D15" s="79" t="s">
        <v>32</v>
      </c>
      <c r="E15" s="16" t="s">
        <v>301</v>
      </c>
      <c r="F15" s="31">
        <v>400</v>
      </c>
      <c r="G15" s="32" t="s">
        <v>296</v>
      </c>
      <c r="H15" s="32" t="s">
        <v>32</v>
      </c>
      <c r="I15" s="55" t="s">
        <v>388</v>
      </c>
      <c r="J15" s="58"/>
      <c r="K15" s="59">
        <f>SUM(J5:J14)</f>
        <v>1600</v>
      </c>
      <c r="L15" s="59"/>
      <c r="M15" s="65" t="s">
        <v>241</v>
      </c>
      <c r="N15" s="66">
        <v>50</v>
      </c>
      <c r="O15" s="67" t="s">
        <v>82</v>
      </c>
      <c r="P15" s="68" t="s">
        <v>242</v>
      </c>
      <c r="Q15" s="48" t="s">
        <v>265</v>
      </c>
      <c r="R15" s="45">
        <f>109265-108705</f>
        <v>560</v>
      </c>
      <c r="S15" s="46" t="s">
        <v>2</v>
      </c>
      <c r="T15" s="47" t="s">
        <v>2</v>
      </c>
    </row>
    <row r="16" spans="1:20" ht="27" thickBot="1" x14ac:dyDescent="0.45">
      <c r="A16" s="48" t="s">
        <v>388</v>
      </c>
      <c r="B16" s="45"/>
      <c r="C16" s="46">
        <f>SUM(B5:B15)</f>
        <v>3048</v>
      </c>
      <c r="D16" s="47"/>
      <c r="E16" s="16" t="s">
        <v>302</v>
      </c>
      <c r="F16" s="31">
        <v>40</v>
      </c>
      <c r="G16" s="32" t="s">
        <v>296</v>
      </c>
      <c r="H16" s="32" t="s">
        <v>16</v>
      </c>
      <c r="I16" s="137" t="s">
        <v>485</v>
      </c>
      <c r="J16" s="138"/>
      <c r="K16" s="138"/>
      <c r="L16" s="138"/>
      <c r="M16" s="97" t="s">
        <v>335</v>
      </c>
      <c r="N16" s="73">
        <v>350</v>
      </c>
      <c r="O16" s="98" t="s">
        <v>475</v>
      </c>
      <c r="P16" s="99" t="s">
        <v>32</v>
      </c>
      <c r="Q16" s="80" t="s">
        <v>357</v>
      </c>
      <c r="R16" s="14">
        <v>155</v>
      </c>
      <c r="S16" s="78" t="s">
        <v>358</v>
      </c>
      <c r="T16" s="79" t="s">
        <v>2</v>
      </c>
    </row>
    <row r="17" spans="1:20" ht="27" thickBot="1" x14ac:dyDescent="0.45">
      <c r="A17" s="140" t="s">
        <v>477</v>
      </c>
      <c r="B17" s="141"/>
      <c r="C17" s="141"/>
      <c r="D17" s="142"/>
      <c r="E17" s="16" t="s">
        <v>303</v>
      </c>
      <c r="F17" s="31">
        <v>20</v>
      </c>
      <c r="G17" s="32" t="s">
        <v>296</v>
      </c>
      <c r="H17" s="32" t="s">
        <v>14</v>
      </c>
      <c r="I17" s="56" t="s">
        <v>265</v>
      </c>
      <c r="J17" s="57">
        <v>447</v>
      </c>
      <c r="K17" s="89" t="s">
        <v>164</v>
      </c>
      <c r="L17" s="90" t="s">
        <v>2</v>
      </c>
      <c r="M17" s="65" t="s">
        <v>388</v>
      </c>
      <c r="N17" s="66"/>
      <c r="O17" s="67">
        <f>SUM(N13:N16)</f>
        <v>995</v>
      </c>
      <c r="P17" s="68">
        <f>O11+O17</f>
        <v>2120</v>
      </c>
      <c r="Q17" s="48" t="s">
        <v>388</v>
      </c>
      <c r="R17" s="11"/>
      <c r="S17" s="46">
        <f>R15+R16</f>
        <v>715</v>
      </c>
      <c r="T17" s="47">
        <f>T13+S17</f>
        <v>3667</v>
      </c>
    </row>
    <row r="18" spans="1:20" x14ac:dyDescent="0.4">
      <c r="A18" s="10" t="s">
        <v>175</v>
      </c>
      <c r="B18" s="45">
        <f>1334+80</f>
        <v>1414</v>
      </c>
      <c r="C18" s="46" t="s">
        <v>6</v>
      </c>
      <c r="D18" s="47" t="s">
        <v>2</v>
      </c>
      <c r="E18" s="16" t="s">
        <v>304</v>
      </c>
      <c r="F18" s="31">
        <v>20</v>
      </c>
      <c r="G18" s="32" t="s">
        <v>296</v>
      </c>
      <c r="H18" s="32" t="s">
        <v>12</v>
      </c>
      <c r="I18" s="55" t="s">
        <v>388</v>
      </c>
      <c r="J18" s="58"/>
      <c r="K18" s="59">
        <f>J17</f>
        <v>447</v>
      </c>
      <c r="L18" s="59">
        <f>K15+K18</f>
        <v>2047</v>
      </c>
      <c r="M18" s="163" t="s">
        <v>488</v>
      </c>
      <c r="N18" s="164"/>
      <c r="O18" s="164"/>
      <c r="P18" s="165"/>
      <c r="Q18" s="140" t="s">
        <v>497</v>
      </c>
      <c r="R18" s="141"/>
      <c r="S18" s="141"/>
      <c r="T18" s="142"/>
    </row>
    <row r="19" spans="1:20" ht="27" thickBot="1" x14ac:dyDescent="0.45">
      <c r="A19" s="10" t="s">
        <v>283</v>
      </c>
      <c r="B19" s="45">
        <v>1500</v>
      </c>
      <c r="C19" s="46" t="s">
        <v>6</v>
      </c>
      <c r="D19" s="47" t="s">
        <v>18</v>
      </c>
      <c r="E19" s="16" t="s">
        <v>498</v>
      </c>
      <c r="F19" s="31">
        <v>443</v>
      </c>
      <c r="G19" s="32" t="s">
        <v>296</v>
      </c>
      <c r="H19" s="32" t="s">
        <v>2</v>
      </c>
      <c r="I19" s="137" t="s">
        <v>493</v>
      </c>
      <c r="J19" s="138"/>
      <c r="K19" s="138"/>
      <c r="L19" s="138"/>
      <c r="M19" s="65" t="s">
        <v>341</v>
      </c>
      <c r="N19" s="66">
        <v>1500</v>
      </c>
      <c r="O19" s="67" t="s">
        <v>32</v>
      </c>
      <c r="P19" s="68" t="s">
        <v>18</v>
      </c>
      <c r="Q19" s="80" t="s">
        <v>265</v>
      </c>
      <c r="R19" s="61">
        <v>140</v>
      </c>
      <c r="S19" s="78"/>
      <c r="T19" s="79"/>
    </row>
    <row r="20" spans="1:20" ht="27" thickBot="1" x14ac:dyDescent="0.45">
      <c r="A20" s="10" t="s">
        <v>85</v>
      </c>
      <c r="B20" s="45">
        <v>20</v>
      </c>
      <c r="C20" s="46" t="s">
        <v>6</v>
      </c>
      <c r="D20" s="47" t="s">
        <v>16</v>
      </c>
      <c r="E20" s="19" t="s">
        <v>499</v>
      </c>
      <c r="F20" s="54">
        <v>443</v>
      </c>
      <c r="G20" s="84" t="s">
        <v>296</v>
      </c>
      <c r="H20" s="85" t="s">
        <v>2</v>
      </c>
      <c r="I20" s="55" t="s">
        <v>265</v>
      </c>
      <c r="J20" s="58">
        <v>1101</v>
      </c>
      <c r="K20" s="59" t="s">
        <v>164</v>
      </c>
      <c r="L20" s="59" t="s">
        <v>2</v>
      </c>
      <c r="M20" s="65" t="s">
        <v>175</v>
      </c>
      <c r="N20" s="66">
        <v>550</v>
      </c>
      <c r="O20" s="67" t="s">
        <v>32</v>
      </c>
      <c r="P20" s="68" t="s">
        <v>2</v>
      </c>
      <c r="Q20" s="76" t="s">
        <v>388</v>
      </c>
      <c r="R20" s="91"/>
      <c r="S20" s="91">
        <f>R19</f>
        <v>140</v>
      </c>
      <c r="T20" s="92">
        <f>T17+S20</f>
        <v>3807</v>
      </c>
    </row>
    <row r="21" spans="1:20" ht="27" thickBot="1" x14ac:dyDescent="0.45">
      <c r="A21" s="10" t="s">
        <v>285</v>
      </c>
      <c r="B21" s="45">
        <v>20</v>
      </c>
      <c r="C21" s="46" t="s">
        <v>6</v>
      </c>
      <c r="D21" s="47" t="s">
        <v>12</v>
      </c>
      <c r="E21" s="16" t="s">
        <v>388</v>
      </c>
      <c r="F21" s="31"/>
      <c r="G21" s="32">
        <f>SUM(F11:F20)</f>
        <v>3120</v>
      </c>
      <c r="H21" s="32">
        <f>G9+G21</f>
        <v>5742</v>
      </c>
      <c r="I21" s="55" t="s">
        <v>288</v>
      </c>
      <c r="J21" s="58">
        <v>60</v>
      </c>
      <c r="K21" s="59" t="s">
        <v>164</v>
      </c>
      <c r="L21" s="59" t="s">
        <v>151</v>
      </c>
      <c r="M21" s="65" t="s">
        <v>334</v>
      </c>
      <c r="N21" s="66">
        <v>20</v>
      </c>
      <c r="O21" s="67" t="s">
        <v>32</v>
      </c>
      <c r="P21" s="68" t="s">
        <v>242</v>
      </c>
      <c r="Q21" s="13" t="s">
        <v>351</v>
      </c>
      <c r="R21" s="61">
        <f>SUM(R5:R19)</f>
        <v>3807</v>
      </c>
      <c r="S21" s="14"/>
      <c r="T21" s="15"/>
    </row>
    <row r="22" spans="1:20" ht="27" thickBot="1" x14ac:dyDescent="0.45">
      <c r="A22" s="10" t="s">
        <v>288</v>
      </c>
      <c r="B22" s="45">
        <v>20</v>
      </c>
      <c r="C22" s="46" t="s">
        <v>6</v>
      </c>
      <c r="D22" s="47" t="s">
        <v>151</v>
      </c>
      <c r="E22" s="134" t="s">
        <v>484</v>
      </c>
      <c r="F22" s="135"/>
      <c r="G22" s="135"/>
      <c r="H22" s="135"/>
      <c r="I22" s="55" t="s">
        <v>288</v>
      </c>
      <c r="J22" s="58">
        <v>60</v>
      </c>
      <c r="K22" s="59" t="s">
        <v>164</v>
      </c>
      <c r="L22" s="59" t="s">
        <v>151</v>
      </c>
      <c r="M22" s="97" t="s">
        <v>342</v>
      </c>
      <c r="N22" s="73">
        <v>70</v>
      </c>
      <c r="O22" s="98" t="s">
        <v>343</v>
      </c>
      <c r="P22" s="99" t="s">
        <v>2</v>
      </c>
    </row>
    <row r="23" spans="1:20" x14ac:dyDescent="0.4">
      <c r="A23" s="10" t="s">
        <v>286</v>
      </c>
      <c r="B23" s="45">
        <v>20</v>
      </c>
      <c r="C23" s="46" t="s">
        <v>6</v>
      </c>
      <c r="D23" s="47" t="s">
        <v>12</v>
      </c>
      <c r="E23" s="30" t="s">
        <v>307</v>
      </c>
      <c r="F23" s="31">
        <v>25</v>
      </c>
      <c r="G23" s="32" t="s">
        <v>308</v>
      </c>
      <c r="H23" s="32" t="s">
        <v>14</v>
      </c>
      <c r="I23" s="55" t="s">
        <v>270</v>
      </c>
      <c r="J23" s="58">
        <v>40</v>
      </c>
      <c r="K23" s="59" t="s">
        <v>164</v>
      </c>
      <c r="L23" s="59" t="s">
        <v>16</v>
      </c>
      <c r="M23" s="65" t="s">
        <v>388</v>
      </c>
      <c r="N23" s="66"/>
      <c r="O23" s="67">
        <f>SUM(N19:N22)</f>
        <v>2140</v>
      </c>
      <c r="P23" s="68">
        <f>P17+O23</f>
        <v>4260</v>
      </c>
    </row>
    <row r="24" spans="1:20" ht="27" thickBot="1" x14ac:dyDescent="0.45">
      <c r="A24" s="13" t="s">
        <v>290</v>
      </c>
      <c r="B24" s="61">
        <v>1000</v>
      </c>
      <c r="C24" s="78" t="s">
        <v>6</v>
      </c>
      <c r="D24" s="79" t="s">
        <v>18</v>
      </c>
      <c r="E24" s="30" t="s">
        <v>265</v>
      </c>
      <c r="F24" s="31">
        <v>5131</v>
      </c>
      <c r="G24" s="32" t="s">
        <v>308</v>
      </c>
      <c r="H24" s="32" t="s">
        <v>2</v>
      </c>
      <c r="I24" s="55" t="s">
        <v>268</v>
      </c>
      <c r="J24" s="58"/>
      <c r="K24" s="59" t="s">
        <v>164</v>
      </c>
      <c r="L24" s="59" t="s">
        <v>14</v>
      </c>
      <c r="M24" s="163" t="s">
        <v>489</v>
      </c>
      <c r="N24" s="164"/>
      <c r="O24" s="164"/>
      <c r="P24" s="165"/>
    </row>
    <row r="25" spans="1:20" x14ac:dyDescent="0.4">
      <c r="A25" s="10" t="s">
        <v>388</v>
      </c>
      <c r="B25" s="45"/>
      <c r="C25" s="46">
        <f>SUM(B18:B24)</f>
        <v>3994</v>
      </c>
      <c r="D25" s="47">
        <f>C16+C25</f>
        <v>7042</v>
      </c>
      <c r="E25" s="30" t="s">
        <v>269</v>
      </c>
      <c r="F25" s="31">
        <v>260</v>
      </c>
      <c r="G25" s="32" t="s">
        <v>308</v>
      </c>
      <c r="H25" s="32" t="s">
        <v>12</v>
      </c>
      <c r="I25" s="55" t="s">
        <v>324</v>
      </c>
      <c r="J25" s="58">
        <v>25</v>
      </c>
      <c r="K25" s="59" t="s">
        <v>325</v>
      </c>
      <c r="L25" s="59" t="s">
        <v>2</v>
      </c>
      <c r="M25" s="65" t="s">
        <v>265</v>
      </c>
      <c r="N25" s="66">
        <v>1240</v>
      </c>
      <c r="O25" s="67" t="s">
        <v>344</v>
      </c>
      <c r="P25" s="68" t="s">
        <v>2</v>
      </c>
    </row>
    <row r="26" spans="1:20" x14ac:dyDescent="0.4">
      <c r="A26" s="140" t="s">
        <v>478</v>
      </c>
      <c r="B26" s="141"/>
      <c r="C26" s="141"/>
      <c r="D26" s="142"/>
      <c r="E26" s="30" t="s">
        <v>288</v>
      </c>
      <c r="F26" s="31">
        <v>40</v>
      </c>
      <c r="G26" s="32" t="s">
        <v>308</v>
      </c>
      <c r="H26" s="32" t="s">
        <v>151</v>
      </c>
      <c r="I26" s="55" t="s">
        <v>326</v>
      </c>
      <c r="J26" s="58">
        <v>311</v>
      </c>
      <c r="K26" s="59" t="s">
        <v>325</v>
      </c>
      <c r="L26" s="59" t="s">
        <v>2</v>
      </c>
      <c r="M26" s="65" t="s">
        <v>361</v>
      </c>
      <c r="N26" s="66">
        <v>5240</v>
      </c>
      <c r="O26" s="67" t="s">
        <v>344</v>
      </c>
      <c r="P26" s="68" t="s">
        <v>2</v>
      </c>
    </row>
    <row r="27" spans="1:20" ht="27" thickBot="1" x14ac:dyDescent="0.45">
      <c r="A27" s="10" t="s">
        <v>289</v>
      </c>
      <c r="B27" s="45">
        <v>40</v>
      </c>
      <c r="C27" s="46" t="s">
        <v>225</v>
      </c>
      <c r="D27" s="47" t="s">
        <v>12</v>
      </c>
      <c r="E27" s="30" t="s">
        <v>270</v>
      </c>
      <c r="F27" s="31">
        <v>60</v>
      </c>
      <c r="G27" s="32" t="s">
        <v>308</v>
      </c>
      <c r="H27" s="32" t="s">
        <v>16</v>
      </c>
      <c r="I27" s="55" t="s">
        <v>364</v>
      </c>
      <c r="J27" s="58">
        <v>1313</v>
      </c>
      <c r="K27" s="59" t="s">
        <v>164</v>
      </c>
      <c r="L27" s="59" t="s">
        <v>2</v>
      </c>
      <c r="M27" s="97" t="s">
        <v>362</v>
      </c>
      <c r="N27" s="73">
        <v>6980</v>
      </c>
      <c r="O27" s="98" t="s">
        <v>344</v>
      </c>
      <c r="P27" s="99" t="s">
        <v>2</v>
      </c>
    </row>
    <row r="28" spans="1:20" ht="27" thickBot="1" x14ac:dyDescent="0.45">
      <c r="A28" s="13" t="s">
        <v>175</v>
      </c>
      <c r="B28" s="61">
        <v>60</v>
      </c>
      <c r="C28" s="78" t="s">
        <v>225</v>
      </c>
      <c r="D28" s="79" t="s">
        <v>2</v>
      </c>
      <c r="E28" s="30" t="s">
        <v>309</v>
      </c>
      <c r="F28" s="31">
        <v>25</v>
      </c>
      <c r="G28" s="32" t="s">
        <v>308</v>
      </c>
      <c r="H28" s="32" t="s">
        <v>2</v>
      </c>
      <c r="I28" s="56" t="s">
        <v>365</v>
      </c>
      <c r="J28" s="57">
        <v>1076</v>
      </c>
      <c r="K28" s="89" t="s">
        <v>164</v>
      </c>
      <c r="L28" s="90" t="s">
        <v>2</v>
      </c>
      <c r="M28" s="65" t="s">
        <v>388</v>
      </c>
      <c r="N28" s="66"/>
      <c r="O28" s="67">
        <f>N27</f>
        <v>6980</v>
      </c>
      <c r="P28" s="68">
        <f>P23+O28</f>
        <v>11240</v>
      </c>
    </row>
    <row r="29" spans="1:20" ht="27" thickBot="1" x14ac:dyDescent="0.45">
      <c r="A29" s="76" t="s">
        <v>388</v>
      </c>
      <c r="B29" s="91"/>
      <c r="C29" s="91">
        <f>B27+B28</f>
        <v>100</v>
      </c>
      <c r="D29" s="92">
        <f>D25+C29</f>
        <v>7142</v>
      </c>
      <c r="E29" s="53" t="s">
        <v>311</v>
      </c>
      <c r="F29" s="54">
        <f>110+780</f>
        <v>890</v>
      </c>
      <c r="G29" s="84" t="s">
        <v>310</v>
      </c>
      <c r="H29" s="85" t="s">
        <v>2</v>
      </c>
      <c r="I29" s="104" t="s">
        <v>388</v>
      </c>
      <c r="J29" s="96"/>
      <c r="K29" s="105">
        <f>SUM(J20:J28)</f>
        <v>3986</v>
      </c>
      <c r="L29" s="106">
        <f>L18+K29</f>
        <v>6033</v>
      </c>
      <c r="M29" s="163" t="s">
        <v>490</v>
      </c>
      <c r="N29" s="164"/>
      <c r="O29" s="164"/>
      <c r="P29" s="165"/>
    </row>
    <row r="30" spans="1:20" ht="27" thickBot="1" x14ac:dyDescent="0.45">
      <c r="A30" s="13" t="s">
        <v>279</v>
      </c>
      <c r="B30" s="61">
        <f>SUM(B5:B28)</f>
        <v>7142</v>
      </c>
      <c r="C30" s="14"/>
      <c r="D30" s="15"/>
      <c r="E30" s="86" t="s">
        <v>388</v>
      </c>
      <c r="F30" s="87"/>
      <c r="G30" s="87">
        <f>SUM(F23:F29)</f>
        <v>6431</v>
      </c>
      <c r="H30" s="88">
        <f>H21+G30</f>
        <v>12173</v>
      </c>
      <c r="I30" s="25" t="s">
        <v>321</v>
      </c>
      <c r="J30" s="57">
        <f>SUM(J5:J29)</f>
        <v>6033</v>
      </c>
      <c r="K30" s="26"/>
      <c r="L30" s="26"/>
      <c r="M30" s="65" t="s">
        <v>265</v>
      </c>
      <c r="N30" s="66">
        <f>795+136</f>
        <v>931</v>
      </c>
      <c r="O30" s="67" t="s">
        <v>345</v>
      </c>
      <c r="P30" s="68"/>
    </row>
    <row r="31" spans="1:20" ht="27" thickBot="1" x14ac:dyDescent="0.45">
      <c r="E31" s="19" t="s">
        <v>292</v>
      </c>
      <c r="F31" s="54">
        <f>SUM(F5:F29)</f>
        <v>12173</v>
      </c>
      <c r="G31" s="20"/>
      <c r="H31" s="20"/>
      <c r="M31" s="97" t="s">
        <v>348</v>
      </c>
      <c r="N31" s="73">
        <v>1500</v>
      </c>
      <c r="O31" s="98" t="s">
        <v>345</v>
      </c>
      <c r="P31" s="99" t="s">
        <v>18</v>
      </c>
    </row>
    <row r="32" spans="1:20" ht="27" thickBot="1" x14ac:dyDescent="0.45">
      <c r="M32" s="107" t="s">
        <v>388</v>
      </c>
      <c r="N32" s="108"/>
      <c r="O32" s="109">
        <f>N30+N31</f>
        <v>2431</v>
      </c>
      <c r="P32" s="110">
        <f>P28+O32</f>
        <v>13671</v>
      </c>
    </row>
    <row r="33" spans="5:16" ht="27" thickBot="1" x14ac:dyDescent="0.45">
      <c r="E33" s="1" t="s">
        <v>368</v>
      </c>
      <c r="F33" s="1">
        <f>B30+F31+J30+N33+R21</f>
        <v>49306</v>
      </c>
      <c r="H33" s="4"/>
      <c r="M33" s="72" t="s">
        <v>328</v>
      </c>
      <c r="N33" s="73">
        <f>SUM(N4:N32)</f>
        <v>20151</v>
      </c>
      <c r="O33" s="74"/>
      <c r="P33" s="75"/>
    </row>
    <row r="35" spans="5:16" x14ac:dyDescent="0.4">
      <c r="E35" s="1" t="s">
        <v>205</v>
      </c>
      <c r="F35" s="1">
        <f>'Dragon Kingdom'!F36+'Lost Cities'!F32+'Icy Wilderness'!F16+'Volcanic Isle EDITING'!F33</f>
        <v>139488</v>
      </c>
    </row>
    <row r="36" spans="5:16" x14ac:dyDescent="0.4">
      <c r="E36" s="4"/>
      <c r="F36" s="5"/>
      <c r="G36" s="4"/>
    </row>
    <row r="67" spans="1:4" x14ac:dyDescent="0.4">
      <c r="C67" s="3"/>
      <c r="D67" s="3"/>
    </row>
    <row r="71" spans="1:4" x14ac:dyDescent="0.4">
      <c r="A71" s="151"/>
      <c r="B71" s="151"/>
      <c r="C71" s="151"/>
      <c r="D71" s="151"/>
    </row>
    <row r="74" spans="1:4" x14ac:dyDescent="0.4">
      <c r="A74" s="151"/>
      <c r="B74" s="151"/>
      <c r="C74" s="151"/>
      <c r="D74" s="151"/>
    </row>
    <row r="77" spans="1:4" x14ac:dyDescent="0.4">
      <c r="A77" s="151"/>
      <c r="B77" s="151"/>
      <c r="C77" s="151"/>
      <c r="D77" s="151"/>
    </row>
  </sheetData>
  <mergeCells count="28">
    <mergeCell ref="A74:D74"/>
    <mergeCell ref="A77:D77"/>
    <mergeCell ref="Q7:T7"/>
    <mergeCell ref="Q11:T11"/>
    <mergeCell ref="M24:P24"/>
    <mergeCell ref="A26:D26"/>
    <mergeCell ref="M29:P29"/>
    <mergeCell ref="A71:D71"/>
    <mergeCell ref="I16:L16"/>
    <mergeCell ref="A17:D17"/>
    <mergeCell ref="Q18:T18"/>
    <mergeCell ref="I19:L19"/>
    <mergeCell ref="M18:P18"/>
    <mergeCell ref="E22:H22"/>
    <mergeCell ref="M12:P12"/>
    <mergeCell ref="E10:H10"/>
    <mergeCell ref="Q14:T14"/>
    <mergeCell ref="A4:D4"/>
    <mergeCell ref="E4:H4"/>
    <mergeCell ref="I4:L4"/>
    <mergeCell ref="M4:P4"/>
    <mergeCell ref="Q4:T4"/>
    <mergeCell ref="A1:T1"/>
    <mergeCell ref="A2:D2"/>
    <mergeCell ref="E2:H2"/>
    <mergeCell ref="I2:L2"/>
    <mergeCell ref="M2:P2"/>
    <mergeCell ref="Q2:T2"/>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6"/>
  <sheetViews>
    <sheetView zoomScale="76" zoomScaleNormal="60" workbookViewId="0">
      <selection activeCell="D33" sqref="D33"/>
    </sheetView>
  </sheetViews>
  <sheetFormatPr defaultRowHeight="26.25" x14ac:dyDescent="0.4"/>
  <cols>
    <col min="1" max="1" width="69.5703125" style="1" bestFit="1" customWidth="1"/>
    <col min="2" max="2" width="14.42578125" style="1" bestFit="1" customWidth="1"/>
    <col min="3" max="3" width="21.140625" style="1" bestFit="1" customWidth="1"/>
    <col min="4" max="4" width="43.5703125" style="1" bestFit="1" customWidth="1"/>
    <col min="5" max="5" width="94.28515625" style="1" customWidth="1"/>
    <col min="6" max="6" width="14.5703125" style="1" bestFit="1" customWidth="1"/>
    <col min="7" max="7" width="45.5703125" style="1" customWidth="1"/>
    <col min="8" max="8" width="43.5703125" style="1" bestFit="1" customWidth="1"/>
    <col min="9" max="9" width="86.85546875" style="1" bestFit="1" customWidth="1"/>
    <col min="10" max="10" width="14.5703125" style="1" bestFit="1" customWidth="1"/>
    <col min="11" max="11" width="21.5703125" style="1" bestFit="1" customWidth="1"/>
    <col min="12" max="12" width="43.5703125" style="1" bestFit="1" customWidth="1"/>
    <col min="13" max="16384" width="9.140625" style="1"/>
  </cols>
  <sheetData>
    <row r="1" spans="1:18" ht="27" thickBot="1" x14ac:dyDescent="0.45">
      <c r="A1" s="119" t="str">
        <f>"Dragon Kingdom (total " &amp; F36 &amp; ")"</f>
        <v>Dragon Kingdom (total 21947)</v>
      </c>
      <c r="B1" s="120"/>
      <c r="C1" s="120"/>
      <c r="D1" s="120"/>
      <c r="E1" s="120"/>
      <c r="F1" s="120"/>
      <c r="G1" s="120"/>
      <c r="H1" s="120"/>
      <c r="I1" s="120"/>
      <c r="J1" s="120"/>
      <c r="K1" s="120"/>
      <c r="L1" s="121"/>
      <c r="N1" s="2"/>
      <c r="P1" s="2"/>
      <c r="R1" s="2"/>
    </row>
    <row r="2" spans="1:18" ht="27" thickBot="1" x14ac:dyDescent="0.45">
      <c r="A2" s="122" t="s">
        <v>375</v>
      </c>
      <c r="B2" s="123"/>
      <c r="C2" s="123"/>
      <c r="D2" s="124"/>
      <c r="E2" s="125" t="s">
        <v>367</v>
      </c>
      <c r="F2" s="126"/>
      <c r="G2" s="126"/>
      <c r="H2" s="127"/>
      <c r="I2" s="128" t="s">
        <v>376</v>
      </c>
      <c r="J2" s="129"/>
      <c r="K2" s="129"/>
      <c r="L2" s="130"/>
    </row>
    <row r="3" spans="1:18" ht="27" thickBot="1" x14ac:dyDescent="0.45">
      <c r="A3" s="7" t="s">
        <v>0</v>
      </c>
      <c r="B3" s="8" t="s">
        <v>1</v>
      </c>
      <c r="C3" s="8" t="s">
        <v>19</v>
      </c>
      <c r="D3" s="9" t="s">
        <v>20</v>
      </c>
      <c r="E3" s="44" t="s">
        <v>0</v>
      </c>
      <c r="F3" s="28" t="s">
        <v>1</v>
      </c>
      <c r="G3" s="28" t="s">
        <v>19</v>
      </c>
      <c r="H3" s="29" t="s">
        <v>20</v>
      </c>
      <c r="I3" s="33" t="s">
        <v>0</v>
      </c>
      <c r="J3" s="34" t="s">
        <v>1</v>
      </c>
      <c r="K3" s="34" t="s">
        <v>19</v>
      </c>
      <c r="L3" s="35" t="s">
        <v>20</v>
      </c>
    </row>
    <row r="4" spans="1:18" x14ac:dyDescent="0.4">
      <c r="A4" s="131" t="s">
        <v>23</v>
      </c>
      <c r="B4" s="132"/>
      <c r="C4" s="132"/>
      <c r="D4" s="133"/>
      <c r="E4" s="134" t="s">
        <v>64</v>
      </c>
      <c r="F4" s="135"/>
      <c r="G4" s="135"/>
      <c r="H4" s="136"/>
      <c r="I4" s="137" t="s">
        <v>64</v>
      </c>
      <c r="J4" s="138"/>
      <c r="K4" s="138"/>
      <c r="L4" s="139"/>
    </row>
    <row r="5" spans="1:18" x14ac:dyDescent="0.4">
      <c r="A5" s="10" t="s">
        <v>24</v>
      </c>
      <c r="B5" s="11">
        <v>336</v>
      </c>
      <c r="C5" s="11" t="s">
        <v>2</v>
      </c>
      <c r="D5" s="12" t="s">
        <v>3</v>
      </c>
      <c r="E5" s="16" t="s">
        <v>43</v>
      </c>
      <c r="F5" s="17">
        <v>873</v>
      </c>
      <c r="G5" s="17" t="s">
        <v>2</v>
      </c>
      <c r="H5" s="18" t="s">
        <v>2</v>
      </c>
      <c r="I5" s="22" t="s">
        <v>72</v>
      </c>
      <c r="J5" s="23">
        <v>896</v>
      </c>
      <c r="K5" s="23" t="s">
        <v>2</v>
      </c>
      <c r="L5" s="24" t="s">
        <v>2</v>
      </c>
    </row>
    <row r="6" spans="1:18" x14ac:dyDescent="0.4">
      <c r="A6" s="10" t="s">
        <v>25</v>
      </c>
      <c r="B6" s="11">
        <v>175</v>
      </c>
      <c r="C6" s="11" t="s">
        <v>2</v>
      </c>
      <c r="D6" s="12" t="s">
        <v>26</v>
      </c>
      <c r="E6" s="16" t="s">
        <v>44</v>
      </c>
      <c r="F6" s="17">
        <v>345</v>
      </c>
      <c r="G6" s="17" t="s">
        <v>2</v>
      </c>
      <c r="H6" s="18" t="s">
        <v>12</v>
      </c>
      <c r="I6" s="22" t="s">
        <v>78</v>
      </c>
      <c r="J6" s="23">
        <v>395</v>
      </c>
      <c r="K6" s="23" t="s">
        <v>2</v>
      </c>
      <c r="L6" s="24" t="s">
        <v>12</v>
      </c>
    </row>
    <row r="7" spans="1:18" x14ac:dyDescent="0.4">
      <c r="A7" s="10" t="s">
        <v>27</v>
      </c>
      <c r="B7" s="11">
        <v>100</v>
      </c>
      <c r="C7" s="11" t="s">
        <v>2</v>
      </c>
      <c r="D7" s="12" t="s">
        <v>28</v>
      </c>
      <c r="E7" s="16" t="s">
        <v>80</v>
      </c>
      <c r="F7" s="17">
        <v>161</v>
      </c>
      <c r="G7" s="17" t="s">
        <v>2</v>
      </c>
      <c r="H7" s="18" t="s">
        <v>14</v>
      </c>
      <c r="I7" s="22" t="s">
        <v>79</v>
      </c>
      <c r="J7" s="23">
        <v>1511</v>
      </c>
      <c r="K7" s="23" t="s">
        <v>2</v>
      </c>
      <c r="L7" s="24" t="s">
        <v>2</v>
      </c>
    </row>
    <row r="8" spans="1:18" x14ac:dyDescent="0.4">
      <c r="A8" s="10" t="s">
        <v>29</v>
      </c>
      <c r="B8" s="11">
        <v>300</v>
      </c>
      <c r="C8" s="11" t="s">
        <v>2</v>
      </c>
      <c r="D8" s="12" t="s">
        <v>30</v>
      </c>
      <c r="E8" s="16" t="s">
        <v>52</v>
      </c>
      <c r="F8" s="17">
        <v>75</v>
      </c>
      <c r="G8" s="17" t="s">
        <v>32</v>
      </c>
      <c r="H8" s="18" t="s">
        <v>2</v>
      </c>
      <c r="I8" s="22" t="s">
        <v>76</v>
      </c>
      <c r="J8" s="23">
        <v>75</v>
      </c>
      <c r="K8" s="23" t="s">
        <v>2</v>
      </c>
      <c r="L8" s="24" t="s">
        <v>77</v>
      </c>
    </row>
    <row r="9" spans="1:18" x14ac:dyDescent="0.4">
      <c r="A9" s="140" t="s">
        <v>31</v>
      </c>
      <c r="B9" s="141"/>
      <c r="C9" s="141"/>
      <c r="D9" s="142"/>
      <c r="E9" s="16" t="s">
        <v>53</v>
      </c>
      <c r="F9" s="17">
        <v>25</v>
      </c>
      <c r="G9" s="17" t="s">
        <v>32</v>
      </c>
      <c r="H9" s="18" t="s">
        <v>2</v>
      </c>
      <c r="I9" s="22" t="s">
        <v>88</v>
      </c>
      <c r="J9" s="23">
        <v>55</v>
      </c>
      <c r="K9" s="23" t="s">
        <v>2</v>
      </c>
      <c r="L9" s="24" t="s">
        <v>14</v>
      </c>
    </row>
    <row r="10" spans="1:18" x14ac:dyDescent="0.4">
      <c r="A10" s="10" t="s">
        <v>25</v>
      </c>
      <c r="B10" s="11">
        <v>150</v>
      </c>
      <c r="C10" s="11" t="s">
        <v>32</v>
      </c>
      <c r="D10" s="12" t="s">
        <v>2</v>
      </c>
      <c r="E10" s="16" t="s">
        <v>65</v>
      </c>
      <c r="F10" s="17">
        <v>1000</v>
      </c>
      <c r="G10" s="17" t="s">
        <v>2</v>
      </c>
      <c r="H10" s="18" t="s">
        <v>66</v>
      </c>
      <c r="I10" s="22" t="s">
        <v>85</v>
      </c>
      <c r="J10" s="23">
        <v>100</v>
      </c>
      <c r="K10" s="23" t="s">
        <v>2</v>
      </c>
      <c r="L10" s="24" t="s">
        <v>16</v>
      </c>
    </row>
    <row r="11" spans="1:18" x14ac:dyDescent="0.4">
      <c r="A11" s="140" t="s">
        <v>21</v>
      </c>
      <c r="B11" s="141"/>
      <c r="C11" s="141"/>
      <c r="D11" s="142"/>
      <c r="E11" s="16" t="s">
        <v>67</v>
      </c>
      <c r="F11" s="17">
        <v>2500</v>
      </c>
      <c r="G11" s="17" t="s">
        <v>2</v>
      </c>
      <c r="H11" s="18" t="s">
        <v>69</v>
      </c>
      <c r="I11" s="22" t="s">
        <v>90</v>
      </c>
      <c r="J11" s="23">
        <v>100</v>
      </c>
      <c r="K11" s="23" t="s">
        <v>89</v>
      </c>
      <c r="L11" s="24" t="s">
        <v>32</v>
      </c>
    </row>
    <row r="12" spans="1:18" x14ac:dyDescent="0.4">
      <c r="A12" s="10" t="s">
        <v>4</v>
      </c>
      <c r="B12" s="11">
        <v>31</v>
      </c>
      <c r="C12" s="11" t="s">
        <v>6</v>
      </c>
      <c r="D12" s="12" t="s">
        <v>2</v>
      </c>
      <c r="E12" s="16" t="s">
        <v>68</v>
      </c>
      <c r="F12" s="17">
        <v>50</v>
      </c>
      <c r="G12" s="17" t="s">
        <v>69</v>
      </c>
      <c r="H12" s="18" t="s">
        <v>2</v>
      </c>
      <c r="I12" s="137" t="s">
        <v>75</v>
      </c>
      <c r="J12" s="138"/>
      <c r="K12" s="138"/>
      <c r="L12" s="139"/>
    </row>
    <row r="13" spans="1:18" x14ac:dyDescent="0.4">
      <c r="A13" s="10" t="s">
        <v>5</v>
      </c>
      <c r="B13" s="11">
        <v>280</v>
      </c>
      <c r="C13" s="11" t="s">
        <v>6</v>
      </c>
      <c r="D13" s="12" t="s">
        <v>2</v>
      </c>
      <c r="E13" s="16" t="s">
        <v>70</v>
      </c>
      <c r="F13" s="17">
        <v>500</v>
      </c>
      <c r="G13" s="17" t="s">
        <v>2</v>
      </c>
      <c r="H13" s="18" t="s">
        <v>18</v>
      </c>
      <c r="I13" s="22" t="s">
        <v>73</v>
      </c>
      <c r="J13" s="23">
        <v>250</v>
      </c>
      <c r="K13" s="23" t="s">
        <v>32</v>
      </c>
      <c r="L13" s="24" t="s">
        <v>2</v>
      </c>
    </row>
    <row r="14" spans="1:18" x14ac:dyDescent="0.4">
      <c r="A14" s="10" t="s">
        <v>10</v>
      </c>
      <c r="B14" s="11">
        <v>40</v>
      </c>
      <c r="C14" s="11" t="s">
        <v>6</v>
      </c>
      <c r="D14" s="12" t="s">
        <v>11</v>
      </c>
      <c r="E14" s="134" t="s">
        <v>46</v>
      </c>
      <c r="F14" s="135"/>
      <c r="G14" s="135"/>
      <c r="H14" s="136"/>
      <c r="I14" s="22" t="s">
        <v>74</v>
      </c>
      <c r="J14" s="23">
        <v>899</v>
      </c>
      <c r="K14" s="23" t="s">
        <v>32</v>
      </c>
      <c r="L14" s="24" t="s">
        <v>2</v>
      </c>
    </row>
    <row r="15" spans="1:18" x14ac:dyDescent="0.4">
      <c r="A15" s="140" t="s">
        <v>366</v>
      </c>
      <c r="B15" s="141"/>
      <c r="C15" s="141"/>
      <c r="D15" s="142"/>
      <c r="E15" s="16" t="s">
        <v>45</v>
      </c>
      <c r="F15" s="17">
        <v>25</v>
      </c>
      <c r="G15" s="17" t="s">
        <v>2</v>
      </c>
      <c r="H15" s="18" t="s">
        <v>12</v>
      </c>
      <c r="I15" s="137" t="s">
        <v>81</v>
      </c>
      <c r="J15" s="138"/>
      <c r="K15" s="138"/>
      <c r="L15" s="139"/>
    </row>
    <row r="16" spans="1:18" x14ac:dyDescent="0.4">
      <c r="A16" s="10" t="s">
        <v>8</v>
      </c>
      <c r="B16" s="11">
        <v>426</v>
      </c>
      <c r="C16" s="11" t="s">
        <v>7</v>
      </c>
      <c r="D16" s="12" t="s">
        <v>2</v>
      </c>
      <c r="E16" s="16" t="s">
        <v>47</v>
      </c>
      <c r="F16" s="17">
        <v>80</v>
      </c>
      <c r="G16" s="17" t="s">
        <v>2</v>
      </c>
      <c r="H16" s="18" t="s">
        <v>2</v>
      </c>
      <c r="I16" s="22" t="s">
        <v>83</v>
      </c>
      <c r="J16" s="23">
        <v>289</v>
      </c>
      <c r="K16" s="23" t="s">
        <v>82</v>
      </c>
      <c r="L16" s="24" t="s">
        <v>2</v>
      </c>
    </row>
    <row r="17" spans="1:12" x14ac:dyDescent="0.4">
      <c r="A17" s="10" t="s">
        <v>9</v>
      </c>
      <c r="B17" s="11">
        <v>20</v>
      </c>
      <c r="C17" s="11" t="s">
        <v>7</v>
      </c>
      <c r="D17" s="12" t="s">
        <v>12</v>
      </c>
      <c r="E17" s="134" t="s">
        <v>48</v>
      </c>
      <c r="F17" s="135"/>
      <c r="G17" s="135"/>
      <c r="H17" s="136"/>
      <c r="I17" s="22" t="s">
        <v>84</v>
      </c>
      <c r="J17" s="23">
        <v>60</v>
      </c>
      <c r="K17" s="23" t="s">
        <v>82</v>
      </c>
      <c r="L17" s="24" t="s">
        <v>14</v>
      </c>
    </row>
    <row r="18" spans="1:12" x14ac:dyDescent="0.4">
      <c r="A18" s="10" t="s">
        <v>13</v>
      </c>
      <c r="B18" s="11">
        <v>20</v>
      </c>
      <c r="C18" s="11" t="s">
        <v>7</v>
      </c>
      <c r="D18" s="12" t="s">
        <v>14</v>
      </c>
      <c r="E18" s="16" t="s">
        <v>50</v>
      </c>
      <c r="F18" s="17">
        <v>70</v>
      </c>
      <c r="G18" s="17" t="s">
        <v>49</v>
      </c>
      <c r="H18" s="18" t="s">
        <v>12</v>
      </c>
      <c r="I18" s="22" t="s">
        <v>85</v>
      </c>
      <c r="J18" s="23">
        <v>40</v>
      </c>
      <c r="K18" s="23" t="s">
        <v>82</v>
      </c>
      <c r="L18" s="24" t="s">
        <v>16</v>
      </c>
    </row>
    <row r="19" spans="1:12" x14ac:dyDescent="0.4">
      <c r="A19" s="10" t="s">
        <v>15</v>
      </c>
      <c r="B19" s="11">
        <v>20</v>
      </c>
      <c r="C19" s="11" t="s">
        <v>7</v>
      </c>
      <c r="D19" s="12" t="s">
        <v>16</v>
      </c>
      <c r="E19" s="16" t="s">
        <v>51</v>
      </c>
      <c r="F19" s="17">
        <v>175</v>
      </c>
      <c r="G19" s="17" t="s">
        <v>49</v>
      </c>
      <c r="H19" s="18" t="s">
        <v>2</v>
      </c>
      <c r="I19" s="22" t="s">
        <v>86</v>
      </c>
      <c r="J19" s="23">
        <v>75</v>
      </c>
      <c r="K19" s="23" t="s">
        <v>82</v>
      </c>
      <c r="L19" s="24" t="s">
        <v>12</v>
      </c>
    </row>
    <row r="20" spans="1:12" x14ac:dyDescent="0.4">
      <c r="A20" s="10" t="s">
        <v>17</v>
      </c>
      <c r="B20" s="11">
        <v>500</v>
      </c>
      <c r="C20" s="11" t="s">
        <v>7</v>
      </c>
      <c r="D20" s="12" t="s">
        <v>18</v>
      </c>
      <c r="E20" s="134" t="s">
        <v>55</v>
      </c>
      <c r="F20" s="135"/>
      <c r="G20" s="135"/>
      <c r="H20" s="136"/>
      <c r="I20" s="22" t="s">
        <v>87</v>
      </c>
      <c r="J20" s="23">
        <v>187</v>
      </c>
      <c r="K20" s="23" t="s">
        <v>82</v>
      </c>
      <c r="L20" s="24" t="s">
        <v>2</v>
      </c>
    </row>
    <row r="21" spans="1:12" x14ac:dyDescent="0.4">
      <c r="A21" s="140" t="s">
        <v>35</v>
      </c>
      <c r="B21" s="141"/>
      <c r="C21" s="141"/>
      <c r="D21" s="142"/>
      <c r="E21" s="16" t="s">
        <v>56</v>
      </c>
      <c r="F21" s="17">
        <v>160</v>
      </c>
      <c r="G21" s="17" t="s">
        <v>54</v>
      </c>
      <c r="H21" s="18" t="s">
        <v>2</v>
      </c>
      <c r="I21" s="137" t="s">
        <v>91</v>
      </c>
      <c r="J21" s="138"/>
      <c r="K21" s="138"/>
      <c r="L21" s="139"/>
    </row>
    <row r="22" spans="1:12" x14ac:dyDescent="0.4">
      <c r="A22" s="10" t="s">
        <v>8</v>
      </c>
      <c r="B22" s="11">
        <v>99</v>
      </c>
      <c r="C22" s="11" t="s">
        <v>7</v>
      </c>
      <c r="D22" s="12" t="s">
        <v>2</v>
      </c>
      <c r="E22" s="16" t="s">
        <v>45</v>
      </c>
      <c r="F22" s="17">
        <v>25</v>
      </c>
      <c r="G22" s="17" t="s">
        <v>54</v>
      </c>
      <c r="H22" s="18" t="s">
        <v>12</v>
      </c>
      <c r="I22" s="22" t="s">
        <v>92</v>
      </c>
      <c r="J22" s="23">
        <f>1166+90</f>
        <v>1256</v>
      </c>
      <c r="K22" s="23" t="s">
        <v>2</v>
      </c>
      <c r="L22" s="24" t="s">
        <v>2</v>
      </c>
    </row>
    <row r="23" spans="1:12" x14ac:dyDescent="0.4">
      <c r="A23" s="10" t="s">
        <v>17</v>
      </c>
      <c r="B23" s="11">
        <v>500</v>
      </c>
      <c r="C23" s="11" t="s">
        <v>7</v>
      </c>
      <c r="D23" s="12" t="s">
        <v>18</v>
      </c>
      <c r="E23" s="16" t="s">
        <v>57</v>
      </c>
      <c r="F23" s="17">
        <v>500</v>
      </c>
      <c r="G23" s="17" t="s">
        <v>54</v>
      </c>
      <c r="H23" s="18" t="s">
        <v>18</v>
      </c>
      <c r="I23" s="22" t="s">
        <v>93</v>
      </c>
      <c r="J23" s="23">
        <v>143</v>
      </c>
      <c r="K23" s="23" t="s">
        <v>2</v>
      </c>
      <c r="L23" s="24" t="s">
        <v>94</v>
      </c>
    </row>
    <row r="24" spans="1:12" x14ac:dyDescent="0.4">
      <c r="A24" s="10" t="s">
        <v>22</v>
      </c>
      <c r="B24" s="11">
        <v>40</v>
      </c>
      <c r="C24" s="11" t="s">
        <v>7</v>
      </c>
      <c r="D24" s="12" t="s">
        <v>16</v>
      </c>
      <c r="E24" s="16" t="s">
        <v>58</v>
      </c>
      <c r="F24" s="17">
        <v>500</v>
      </c>
      <c r="G24" s="17" t="s">
        <v>59</v>
      </c>
      <c r="H24" s="18" t="s">
        <v>18</v>
      </c>
      <c r="I24" s="22" t="s">
        <v>95</v>
      </c>
      <c r="J24" s="23">
        <v>50</v>
      </c>
      <c r="K24" s="23" t="s">
        <v>2</v>
      </c>
      <c r="L24" s="24" t="s">
        <v>94</v>
      </c>
    </row>
    <row r="25" spans="1:12" x14ac:dyDescent="0.4">
      <c r="A25" s="140" t="s">
        <v>33</v>
      </c>
      <c r="B25" s="141"/>
      <c r="C25" s="141"/>
      <c r="D25" s="142"/>
      <c r="E25" s="134" t="s">
        <v>60</v>
      </c>
      <c r="F25" s="135"/>
      <c r="G25" s="135"/>
      <c r="H25" s="136"/>
      <c r="I25" s="137" t="s">
        <v>363</v>
      </c>
      <c r="J25" s="138"/>
      <c r="K25" s="138"/>
      <c r="L25" s="139"/>
    </row>
    <row r="26" spans="1:12" x14ac:dyDescent="0.4">
      <c r="A26" s="10" t="s">
        <v>34</v>
      </c>
      <c r="B26" s="11">
        <v>500</v>
      </c>
      <c r="C26" s="11" t="s">
        <v>6</v>
      </c>
      <c r="D26" s="12" t="s">
        <v>18</v>
      </c>
      <c r="E26" s="16" t="s">
        <v>50</v>
      </c>
      <c r="F26" s="17">
        <v>75</v>
      </c>
      <c r="G26" s="17" t="s">
        <v>54</v>
      </c>
      <c r="H26" s="18" t="s">
        <v>12</v>
      </c>
      <c r="I26" s="22" t="s">
        <v>364</v>
      </c>
      <c r="J26" s="23">
        <v>695</v>
      </c>
      <c r="K26" s="23" t="s">
        <v>2</v>
      </c>
      <c r="L26" s="24" t="s">
        <v>2</v>
      </c>
    </row>
    <row r="27" spans="1:12" x14ac:dyDescent="0.4">
      <c r="A27" s="10" t="s">
        <v>36</v>
      </c>
      <c r="B27" s="11">
        <v>215</v>
      </c>
      <c r="C27" s="11" t="s">
        <v>6</v>
      </c>
      <c r="D27" s="12" t="s">
        <v>2</v>
      </c>
      <c r="E27" s="16" t="s">
        <v>61</v>
      </c>
      <c r="F27" s="17">
        <v>25</v>
      </c>
      <c r="G27" s="17" t="s">
        <v>54</v>
      </c>
      <c r="H27" s="18" t="s">
        <v>2</v>
      </c>
      <c r="I27" s="22" t="s">
        <v>365</v>
      </c>
      <c r="J27" s="23">
        <v>828</v>
      </c>
      <c r="K27" s="23" t="s">
        <v>2</v>
      </c>
      <c r="L27" s="24" t="s">
        <v>2</v>
      </c>
    </row>
    <row r="28" spans="1:12" x14ac:dyDescent="0.4">
      <c r="A28" s="140" t="s">
        <v>38</v>
      </c>
      <c r="B28" s="141"/>
      <c r="C28" s="141"/>
      <c r="D28" s="142"/>
      <c r="E28" s="134" t="s">
        <v>62</v>
      </c>
      <c r="F28" s="135"/>
      <c r="G28" s="135"/>
      <c r="H28" s="136"/>
      <c r="I28" s="22"/>
      <c r="J28" s="23"/>
      <c r="K28" s="23"/>
      <c r="L28" s="24"/>
    </row>
    <row r="29" spans="1:12" ht="27" thickBot="1" x14ac:dyDescent="0.45">
      <c r="A29" s="10" t="s">
        <v>37</v>
      </c>
      <c r="B29" s="11">
        <v>396</v>
      </c>
      <c r="C29" s="11" t="s">
        <v>6</v>
      </c>
      <c r="D29" s="12" t="s">
        <v>2</v>
      </c>
      <c r="E29" s="16" t="s">
        <v>63</v>
      </c>
      <c r="F29" s="17">
        <v>75</v>
      </c>
      <c r="G29" s="17" t="s">
        <v>54</v>
      </c>
      <c r="H29" s="18" t="s">
        <v>2</v>
      </c>
      <c r="I29" s="25" t="s">
        <v>96</v>
      </c>
      <c r="J29" s="26">
        <f>SUM(J5:J27)</f>
        <v>7904</v>
      </c>
      <c r="K29" s="26"/>
      <c r="L29" s="27"/>
    </row>
    <row r="30" spans="1:12" x14ac:dyDescent="0.4">
      <c r="A30" s="10" t="s">
        <v>17</v>
      </c>
      <c r="B30" s="11">
        <v>500</v>
      </c>
      <c r="C30" s="11" t="s">
        <v>6</v>
      </c>
      <c r="D30" s="12" t="s">
        <v>39</v>
      </c>
      <c r="E30" s="134" t="s">
        <v>360</v>
      </c>
      <c r="F30" s="135"/>
      <c r="G30" s="135"/>
      <c r="H30" s="136"/>
    </row>
    <row r="31" spans="1:12" x14ac:dyDescent="0.4">
      <c r="A31" s="140" t="s">
        <v>40</v>
      </c>
      <c r="B31" s="141"/>
      <c r="C31" s="141"/>
      <c r="D31" s="142"/>
      <c r="E31" s="16" t="s">
        <v>361</v>
      </c>
      <c r="F31" s="17">
        <v>928</v>
      </c>
      <c r="G31" s="17" t="s">
        <v>2</v>
      </c>
      <c r="H31" s="18" t="s">
        <v>2</v>
      </c>
    </row>
    <row r="32" spans="1:12" x14ac:dyDescent="0.4">
      <c r="A32" s="10" t="s">
        <v>37</v>
      </c>
      <c r="B32" s="11">
        <v>310</v>
      </c>
      <c r="C32" s="11" t="s">
        <v>41</v>
      </c>
      <c r="D32" s="12" t="s">
        <v>2</v>
      </c>
      <c r="E32" s="16" t="s">
        <v>362</v>
      </c>
      <c r="F32" s="17">
        <v>878</v>
      </c>
      <c r="G32" s="17" t="s">
        <v>2</v>
      </c>
      <c r="H32" s="18" t="s">
        <v>2</v>
      </c>
    </row>
    <row r="33" spans="1:8" x14ac:dyDescent="0.4">
      <c r="A33" s="10" t="s">
        <v>42</v>
      </c>
      <c r="B33" s="11">
        <f>4973-4933</f>
        <v>40</v>
      </c>
      <c r="C33" s="11" t="s">
        <v>41</v>
      </c>
      <c r="D33" s="12" t="s">
        <v>12</v>
      </c>
      <c r="E33" s="16"/>
      <c r="F33" s="17"/>
      <c r="G33" s="17"/>
      <c r="H33" s="18"/>
    </row>
    <row r="34" spans="1:8" ht="27" thickBot="1" x14ac:dyDescent="0.45">
      <c r="A34" s="10"/>
      <c r="B34" s="11"/>
      <c r="C34" s="11"/>
      <c r="D34" s="12"/>
      <c r="E34" s="19" t="s">
        <v>71</v>
      </c>
      <c r="F34" s="20">
        <f>SUM(F5:F32)</f>
        <v>9045</v>
      </c>
      <c r="G34" s="20"/>
      <c r="H34" s="21"/>
    </row>
    <row r="35" spans="1:8" ht="27" thickBot="1" x14ac:dyDescent="0.45">
      <c r="A35" s="13" t="s">
        <v>97</v>
      </c>
      <c r="B35" s="14">
        <f>SUM(B2:B33)</f>
        <v>4998</v>
      </c>
      <c r="C35" s="14"/>
      <c r="D35" s="15"/>
    </row>
    <row r="36" spans="1:8" x14ac:dyDescent="0.4">
      <c r="E36" s="1" t="s">
        <v>206</v>
      </c>
      <c r="F36" s="1">
        <f>B35+F34+J29</f>
        <v>21947</v>
      </c>
    </row>
  </sheetData>
  <mergeCells count="24">
    <mergeCell ref="A1:L1"/>
    <mergeCell ref="E4:H4"/>
    <mergeCell ref="E14:H14"/>
    <mergeCell ref="A15:D15"/>
    <mergeCell ref="A11:D11"/>
    <mergeCell ref="I4:L4"/>
    <mergeCell ref="I12:L12"/>
    <mergeCell ref="I15:L15"/>
    <mergeCell ref="I21:L21"/>
    <mergeCell ref="A31:D31"/>
    <mergeCell ref="E2:H2"/>
    <mergeCell ref="I2:L2"/>
    <mergeCell ref="E17:H17"/>
    <mergeCell ref="E20:H20"/>
    <mergeCell ref="E25:H25"/>
    <mergeCell ref="E28:H28"/>
    <mergeCell ref="A21:D21"/>
    <mergeCell ref="A2:D2"/>
    <mergeCell ref="A4:D4"/>
    <mergeCell ref="A9:D9"/>
    <mergeCell ref="A25:D25"/>
    <mergeCell ref="A28:D28"/>
    <mergeCell ref="E30:H30"/>
    <mergeCell ref="I25:L25"/>
  </mergeCells>
  <pageMargins left="0.7" right="0.7" top="0.75" bottom="0.75" header="0.3" footer="0.3"/>
  <pageSetup orientation="portrait" horizontalDpi="300" verticalDpi="300"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3C8F7D-2047-452A-AC0E-9F4FA932D32A}">
  <dimension ref="A1:R70"/>
  <sheetViews>
    <sheetView zoomScale="70" zoomScaleNormal="70" workbookViewId="0">
      <selection activeCell="H8" sqref="H8"/>
    </sheetView>
  </sheetViews>
  <sheetFormatPr defaultRowHeight="26.25" x14ac:dyDescent="0.4"/>
  <cols>
    <col min="1" max="1" width="118.28515625" style="1" bestFit="1" customWidth="1"/>
    <col min="2" max="2" width="17.85546875" style="1" bestFit="1" customWidth="1"/>
    <col min="3" max="3" width="36" style="1" bestFit="1" customWidth="1"/>
    <col min="4" max="4" width="48.285156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49.140625" style="1" bestFit="1" customWidth="1"/>
    <col min="13" max="16384" width="9.140625" style="1"/>
  </cols>
  <sheetData>
    <row r="1" spans="1:18" ht="27" thickBot="1" x14ac:dyDescent="0.45">
      <c r="A1" s="143" t="str">
        <f>"Lost Cities (total " &amp; F32 &amp; ")"</f>
        <v>Lost Cities (total 34247)</v>
      </c>
      <c r="B1" s="144"/>
      <c r="C1" s="144"/>
      <c r="D1" s="144"/>
      <c r="E1" s="144"/>
      <c r="F1" s="144"/>
      <c r="G1" s="144"/>
      <c r="H1" s="144"/>
      <c r="I1" s="144"/>
      <c r="J1" s="144"/>
      <c r="K1" s="144"/>
      <c r="L1" s="145"/>
      <c r="N1" s="2"/>
      <c r="P1" s="2"/>
      <c r="R1" s="2"/>
    </row>
    <row r="2" spans="1:18" ht="27" thickBot="1" x14ac:dyDescent="0.45">
      <c r="A2" s="122" t="s">
        <v>98</v>
      </c>
      <c r="B2" s="123"/>
      <c r="C2" s="123"/>
      <c r="D2" s="124"/>
      <c r="E2" s="125" t="s">
        <v>146</v>
      </c>
      <c r="F2" s="126"/>
      <c r="G2" s="126"/>
      <c r="H2" s="127"/>
      <c r="I2" s="128" t="s">
        <v>170</v>
      </c>
      <c r="J2" s="129"/>
      <c r="K2" s="129"/>
      <c r="L2" s="130"/>
    </row>
    <row r="3" spans="1:18" ht="27" thickBot="1" x14ac:dyDescent="0.45">
      <c r="A3" s="36" t="s">
        <v>0</v>
      </c>
      <c r="B3" s="37" t="s">
        <v>1</v>
      </c>
      <c r="C3" s="37" t="s">
        <v>19</v>
      </c>
      <c r="D3" s="38" t="s">
        <v>20</v>
      </c>
      <c r="E3" s="39" t="s">
        <v>0</v>
      </c>
      <c r="F3" s="39" t="s">
        <v>1</v>
      </c>
      <c r="G3" s="39" t="s">
        <v>19</v>
      </c>
      <c r="H3" s="40" t="s">
        <v>20</v>
      </c>
      <c r="I3" s="41" t="s">
        <v>0</v>
      </c>
      <c r="J3" s="42" t="s">
        <v>1</v>
      </c>
      <c r="K3" s="42" t="s">
        <v>19</v>
      </c>
      <c r="L3" s="43" t="s">
        <v>20</v>
      </c>
    </row>
    <row r="4" spans="1:18" x14ac:dyDescent="0.4">
      <c r="A4" s="140" t="s">
        <v>102</v>
      </c>
      <c r="B4" s="141"/>
      <c r="C4" s="141"/>
      <c r="D4" s="142"/>
      <c r="E4" s="146" t="s">
        <v>64</v>
      </c>
      <c r="F4" s="147"/>
      <c r="G4" s="147"/>
      <c r="H4" s="147"/>
      <c r="I4" s="148" t="s">
        <v>64</v>
      </c>
      <c r="J4" s="149"/>
      <c r="K4" s="149"/>
      <c r="L4" s="150"/>
    </row>
    <row r="5" spans="1:18" x14ac:dyDescent="0.4">
      <c r="A5" s="10" t="s">
        <v>100</v>
      </c>
      <c r="B5" s="11">
        <v>722</v>
      </c>
      <c r="C5" s="11" t="s">
        <v>2</v>
      </c>
      <c r="D5" s="12" t="s">
        <v>2</v>
      </c>
      <c r="E5" s="16" t="s">
        <v>149</v>
      </c>
      <c r="F5" s="17">
        <v>507</v>
      </c>
      <c r="G5" s="17" t="s">
        <v>2</v>
      </c>
      <c r="H5" s="17" t="s">
        <v>2</v>
      </c>
      <c r="I5" s="22" t="s">
        <v>172</v>
      </c>
      <c r="J5" s="23">
        <v>240</v>
      </c>
      <c r="K5" s="23" t="s">
        <v>2</v>
      </c>
      <c r="L5" s="24" t="s">
        <v>2</v>
      </c>
    </row>
    <row r="6" spans="1:18" x14ac:dyDescent="0.4">
      <c r="A6" s="10" t="s">
        <v>25</v>
      </c>
      <c r="B6" s="11">
        <v>750</v>
      </c>
      <c r="C6" s="11" t="s">
        <v>2</v>
      </c>
      <c r="D6" s="12" t="s">
        <v>26</v>
      </c>
      <c r="E6" s="16" t="s">
        <v>148</v>
      </c>
      <c r="F6" s="17">
        <v>125</v>
      </c>
      <c r="G6" s="17" t="s">
        <v>2</v>
      </c>
      <c r="H6" s="17" t="s">
        <v>77</v>
      </c>
      <c r="I6" s="22" t="s">
        <v>174</v>
      </c>
      <c r="J6" s="23">
        <v>125</v>
      </c>
      <c r="K6" s="23" t="s">
        <v>2</v>
      </c>
      <c r="L6" s="24" t="s">
        <v>12</v>
      </c>
    </row>
    <row r="7" spans="1:18" x14ac:dyDescent="0.4">
      <c r="A7" s="10" t="s">
        <v>101</v>
      </c>
      <c r="B7" s="11">
        <v>350</v>
      </c>
      <c r="C7" s="11" t="s">
        <v>2</v>
      </c>
      <c r="D7" s="12" t="s">
        <v>28</v>
      </c>
      <c r="E7" s="16" t="s">
        <v>84</v>
      </c>
      <c r="F7" s="17">
        <v>80</v>
      </c>
      <c r="G7" s="17" t="s">
        <v>2</v>
      </c>
      <c r="H7" s="17" t="s">
        <v>14</v>
      </c>
      <c r="I7" s="137" t="s">
        <v>177</v>
      </c>
      <c r="J7" s="138"/>
      <c r="K7" s="138"/>
      <c r="L7" s="139"/>
    </row>
    <row r="8" spans="1:18" x14ac:dyDescent="0.4">
      <c r="A8" s="10" t="s">
        <v>103</v>
      </c>
      <c r="B8" s="11">
        <v>200</v>
      </c>
      <c r="C8" s="11" t="s">
        <v>2</v>
      </c>
      <c r="D8" s="12" t="s">
        <v>6</v>
      </c>
      <c r="E8" s="16" t="s">
        <v>150</v>
      </c>
      <c r="F8" s="17">
        <v>20</v>
      </c>
      <c r="G8" s="17" t="s">
        <v>2</v>
      </c>
      <c r="H8" s="17" t="s">
        <v>151</v>
      </c>
      <c r="I8" s="22" t="s">
        <v>182</v>
      </c>
      <c r="J8" s="23">
        <v>15</v>
      </c>
      <c r="K8" s="23" t="s">
        <v>89</v>
      </c>
      <c r="L8" s="24" t="s">
        <v>2</v>
      </c>
    </row>
    <row r="9" spans="1:18" x14ac:dyDescent="0.4">
      <c r="A9" s="10" t="s">
        <v>104</v>
      </c>
      <c r="B9" s="11">
        <v>175</v>
      </c>
      <c r="C9" s="11" t="s">
        <v>2</v>
      </c>
      <c r="D9" s="12" t="s">
        <v>105</v>
      </c>
      <c r="E9" s="16" t="s">
        <v>152</v>
      </c>
      <c r="F9" s="17">
        <v>75</v>
      </c>
      <c r="G9" s="17" t="s">
        <v>69</v>
      </c>
      <c r="H9" s="17" t="s">
        <v>2</v>
      </c>
      <c r="I9" s="22" t="s">
        <v>176</v>
      </c>
      <c r="J9" s="23">
        <v>225</v>
      </c>
      <c r="K9" s="23" t="s">
        <v>89</v>
      </c>
      <c r="L9" s="24" t="s">
        <v>32</v>
      </c>
    </row>
    <row r="10" spans="1:18" x14ac:dyDescent="0.4">
      <c r="A10" s="10" t="s">
        <v>85</v>
      </c>
      <c r="B10" s="11">
        <v>60</v>
      </c>
      <c r="C10" s="11" t="s">
        <v>2</v>
      </c>
      <c r="D10" s="12" t="s">
        <v>16</v>
      </c>
      <c r="E10" s="16" t="s">
        <v>153</v>
      </c>
      <c r="F10" s="17">
        <v>1500</v>
      </c>
      <c r="G10" s="17" t="s">
        <v>69</v>
      </c>
      <c r="H10" s="17" t="s">
        <v>2</v>
      </c>
      <c r="I10" s="137" t="s">
        <v>192</v>
      </c>
      <c r="J10" s="138"/>
      <c r="K10" s="138"/>
      <c r="L10" s="139"/>
    </row>
    <row r="11" spans="1:18" x14ac:dyDescent="0.4">
      <c r="A11" s="10" t="s">
        <v>134</v>
      </c>
      <c r="B11" s="11">
        <v>20</v>
      </c>
      <c r="C11" s="11" t="s">
        <v>2</v>
      </c>
      <c r="D11" s="12" t="s">
        <v>14</v>
      </c>
      <c r="E11" s="134" t="s">
        <v>155</v>
      </c>
      <c r="F11" s="135"/>
      <c r="G11" s="135"/>
      <c r="H11" s="135"/>
      <c r="I11" s="22" t="s">
        <v>181</v>
      </c>
      <c r="J11" s="23">
        <v>579</v>
      </c>
      <c r="K11" s="23" t="s">
        <v>89</v>
      </c>
      <c r="L11" s="24" t="s">
        <v>2</v>
      </c>
    </row>
    <row r="12" spans="1:18" x14ac:dyDescent="0.4">
      <c r="A12" s="10" t="s">
        <v>135</v>
      </c>
      <c r="B12" s="11">
        <v>765</v>
      </c>
      <c r="C12" s="11" t="s">
        <v>2</v>
      </c>
      <c r="D12" s="12" t="s">
        <v>12</v>
      </c>
      <c r="E12" s="30" t="s">
        <v>154</v>
      </c>
      <c r="F12" s="17">
        <v>100</v>
      </c>
      <c r="G12" s="17" t="s">
        <v>32</v>
      </c>
      <c r="H12" s="17" t="s">
        <v>156</v>
      </c>
      <c r="I12" s="22" t="s">
        <v>173</v>
      </c>
      <c r="J12" s="23">
        <v>25</v>
      </c>
      <c r="K12" s="23" t="s">
        <v>89</v>
      </c>
      <c r="L12" s="24" t="s">
        <v>12</v>
      </c>
    </row>
    <row r="13" spans="1:18" x14ac:dyDescent="0.4">
      <c r="A13" s="140" t="s">
        <v>106</v>
      </c>
      <c r="B13" s="141"/>
      <c r="C13" s="141"/>
      <c r="D13" s="142"/>
      <c r="E13" s="16" t="s">
        <v>147</v>
      </c>
      <c r="F13" s="17">
        <v>75</v>
      </c>
      <c r="G13" s="17" t="s">
        <v>32</v>
      </c>
      <c r="H13" s="17" t="s">
        <v>77</v>
      </c>
      <c r="I13" s="22" t="s">
        <v>180</v>
      </c>
      <c r="J13" s="23">
        <v>397</v>
      </c>
      <c r="K13" s="23" t="s">
        <v>178</v>
      </c>
      <c r="L13" s="24" t="s">
        <v>2</v>
      </c>
    </row>
    <row r="14" spans="1:18" x14ac:dyDescent="0.4">
      <c r="A14" s="10" t="s">
        <v>107</v>
      </c>
      <c r="B14" s="11">
        <v>100</v>
      </c>
      <c r="C14" s="11" t="s">
        <v>89</v>
      </c>
      <c r="D14" s="12" t="s">
        <v>32</v>
      </c>
      <c r="E14" s="134" t="s">
        <v>158</v>
      </c>
      <c r="F14" s="135"/>
      <c r="G14" s="135"/>
      <c r="H14" s="135"/>
      <c r="I14" s="22" t="s">
        <v>179</v>
      </c>
      <c r="J14" s="23">
        <v>1500</v>
      </c>
      <c r="K14" s="23" t="s">
        <v>178</v>
      </c>
      <c r="L14" s="24" t="s">
        <v>18</v>
      </c>
    </row>
    <row r="15" spans="1:18" x14ac:dyDescent="0.4">
      <c r="A15" s="140" t="s">
        <v>108</v>
      </c>
      <c r="B15" s="141"/>
      <c r="C15" s="141"/>
      <c r="D15" s="142"/>
      <c r="E15" s="16" t="s">
        <v>159</v>
      </c>
      <c r="F15" s="17">
        <v>730</v>
      </c>
      <c r="G15" s="17" t="s">
        <v>32</v>
      </c>
      <c r="H15" s="17" t="s">
        <v>2</v>
      </c>
      <c r="I15" s="137" t="s">
        <v>193</v>
      </c>
      <c r="J15" s="138"/>
      <c r="K15" s="138"/>
      <c r="L15" s="139"/>
    </row>
    <row r="16" spans="1:18" x14ac:dyDescent="0.4">
      <c r="A16" s="10" t="s">
        <v>109</v>
      </c>
      <c r="B16" s="11">
        <v>25</v>
      </c>
      <c r="C16" s="11" t="s">
        <v>6</v>
      </c>
      <c r="D16" s="12" t="s">
        <v>12</v>
      </c>
      <c r="E16" s="16" t="s">
        <v>148</v>
      </c>
      <c r="F16" s="17">
        <v>125</v>
      </c>
      <c r="G16" s="17" t="s">
        <v>32</v>
      </c>
      <c r="H16" s="17" t="s">
        <v>77</v>
      </c>
      <c r="I16" s="22" t="s">
        <v>182</v>
      </c>
      <c r="J16" s="23">
        <v>76</v>
      </c>
      <c r="K16" s="23" t="s">
        <v>89</v>
      </c>
      <c r="L16" s="24" t="s">
        <v>2</v>
      </c>
    </row>
    <row r="17" spans="1:12" x14ac:dyDescent="0.4">
      <c r="A17" s="10" t="s">
        <v>110</v>
      </c>
      <c r="B17" s="11">
        <v>50</v>
      </c>
      <c r="C17" s="11" t="s">
        <v>6</v>
      </c>
      <c r="D17" s="12" t="s">
        <v>2</v>
      </c>
      <c r="E17" s="16" t="s">
        <v>85</v>
      </c>
      <c r="F17" s="17">
        <v>20</v>
      </c>
      <c r="G17" s="17" t="s">
        <v>32</v>
      </c>
      <c r="H17" s="17" t="s">
        <v>16</v>
      </c>
      <c r="I17" s="22" t="s">
        <v>176</v>
      </c>
      <c r="J17" s="23">
        <v>250</v>
      </c>
      <c r="K17" s="23" t="s">
        <v>89</v>
      </c>
      <c r="L17" s="24" t="s">
        <v>32</v>
      </c>
    </row>
    <row r="18" spans="1:12" x14ac:dyDescent="0.4">
      <c r="A18" s="10" t="s">
        <v>111</v>
      </c>
      <c r="B18" s="11">
        <v>98</v>
      </c>
      <c r="C18" s="11" t="s">
        <v>6</v>
      </c>
      <c r="D18" s="12" t="s">
        <v>2</v>
      </c>
      <c r="E18" s="16" t="s">
        <v>160</v>
      </c>
      <c r="F18" s="17">
        <v>20</v>
      </c>
      <c r="G18" s="17" t="s">
        <v>32</v>
      </c>
      <c r="H18" s="17" t="s">
        <v>14</v>
      </c>
      <c r="I18" s="137" t="s">
        <v>194</v>
      </c>
      <c r="J18" s="138"/>
      <c r="K18" s="138"/>
      <c r="L18" s="139"/>
    </row>
    <row r="19" spans="1:12" x14ac:dyDescent="0.4">
      <c r="A19" s="140" t="s">
        <v>113</v>
      </c>
      <c r="B19" s="141"/>
      <c r="C19" s="141"/>
      <c r="D19" s="142"/>
      <c r="E19" s="16" t="s">
        <v>161</v>
      </c>
      <c r="F19" s="17">
        <v>500</v>
      </c>
      <c r="G19" s="17" t="s">
        <v>32</v>
      </c>
      <c r="H19" s="17" t="s">
        <v>18</v>
      </c>
      <c r="I19" s="22" t="s">
        <v>175</v>
      </c>
      <c r="J19" s="23">
        <f>1793+125</f>
        <v>1918</v>
      </c>
      <c r="K19" s="23" t="s">
        <v>89</v>
      </c>
      <c r="L19" s="24" t="s">
        <v>2</v>
      </c>
    </row>
    <row r="20" spans="1:12" x14ac:dyDescent="0.4">
      <c r="A20" s="10" t="s">
        <v>4</v>
      </c>
      <c r="B20" s="11">
        <v>239</v>
      </c>
      <c r="C20" s="11" t="s">
        <v>82</v>
      </c>
      <c r="D20" s="12" t="s">
        <v>2</v>
      </c>
      <c r="E20" s="134" t="s">
        <v>163</v>
      </c>
      <c r="F20" s="135"/>
      <c r="G20" s="135"/>
      <c r="H20" s="135"/>
      <c r="I20" s="22" t="s">
        <v>183</v>
      </c>
      <c r="J20" s="23">
        <v>50</v>
      </c>
      <c r="K20" s="23" t="s">
        <v>89</v>
      </c>
      <c r="L20" s="24" t="s">
        <v>105</v>
      </c>
    </row>
    <row r="21" spans="1:12" x14ac:dyDescent="0.4">
      <c r="A21" s="10" t="s">
        <v>85</v>
      </c>
      <c r="B21" s="11">
        <v>20</v>
      </c>
      <c r="C21" s="11" t="s">
        <v>82</v>
      </c>
      <c r="D21" s="12" t="s">
        <v>16</v>
      </c>
      <c r="E21" s="30" t="s">
        <v>162</v>
      </c>
      <c r="F21" s="31">
        <v>1000</v>
      </c>
      <c r="G21" s="32" t="s">
        <v>32</v>
      </c>
      <c r="H21" s="32" t="s">
        <v>2</v>
      </c>
      <c r="I21" s="22" t="s">
        <v>188</v>
      </c>
      <c r="J21" s="23">
        <v>100</v>
      </c>
      <c r="K21" s="23" t="s">
        <v>89</v>
      </c>
      <c r="L21" s="24" t="s">
        <v>12</v>
      </c>
    </row>
    <row r="22" spans="1:12" x14ac:dyDescent="0.4">
      <c r="A22" s="10" t="s">
        <v>25</v>
      </c>
      <c r="B22" s="11">
        <v>125</v>
      </c>
      <c r="C22" s="11" t="s">
        <v>82</v>
      </c>
      <c r="D22" s="12" t="s">
        <v>26</v>
      </c>
      <c r="E22" s="16" t="s">
        <v>154</v>
      </c>
      <c r="F22" s="17">
        <v>125</v>
      </c>
      <c r="G22" s="17" t="s">
        <v>32</v>
      </c>
      <c r="H22" s="17" t="s">
        <v>156</v>
      </c>
      <c r="I22" s="22" t="s">
        <v>184</v>
      </c>
      <c r="J22" s="23">
        <v>50</v>
      </c>
      <c r="K22" s="23" t="s">
        <v>185</v>
      </c>
      <c r="L22" s="24" t="s">
        <v>2</v>
      </c>
    </row>
    <row r="23" spans="1:12" x14ac:dyDescent="0.4">
      <c r="A23" s="10" t="s">
        <v>103</v>
      </c>
      <c r="B23" s="11">
        <v>50</v>
      </c>
      <c r="C23" s="11" t="s">
        <v>82</v>
      </c>
      <c r="D23" s="12" t="s">
        <v>6</v>
      </c>
      <c r="E23" s="16" t="s">
        <v>157</v>
      </c>
      <c r="F23" s="17">
        <v>400</v>
      </c>
      <c r="G23" s="17" t="s">
        <v>32</v>
      </c>
      <c r="H23" s="17" t="s">
        <v>77</v>
      </c>
      <c r="I23" s="137" t="s">
        <v>186</v>
      </c>
      <c r="J23" s="138"/>
      <c r="K23" s="138"/>
      <c r="L23" s="139"/>
    </row>
    <row r="24" spans="1:12" x14ac:dyDescent="0.4">
      <c r="A24" s="10" t="s">
        <v>112</v>
      </c>
      <c r="B24" s="11">
        <v>40</v>
      </c>
      <c r="C24" s="11" t="s">
        <v>82</v>
      </c>
      <c r="D24" s="12" t="s">
        <v>12</v>
      </c>
      <c r="E24" s="16" t="s">
        <v>160</v>
      </c>
      <c r="F24" s="17">
        <v>40</v>
      </c>
      <c r="G24" s="17" t="s">
        <v>32</v>
      </c>
      <c r="H24" s="17" t="s">
        <v>14</v>
      </c>
      <c r="I24" s="22" t="s">
        <v>189</v>
      </c>
      <c r="J24" s="23">
        <v>1500</v>
      </c>
      <c r="K24" s="23" t="s">
        <v>187</v>
      </c>
      <c r="L24" s="24" t="s">
        <v>18</v>
      </c>
    </row>
    <row r="25" spans="1:12" x14ac:dyDescent="0.4">
      <c r="A25" s="10" t="s">
        <v>101</v>
      </c>
      <c r="B25" s="11">
        <v>50</v>
      </c>
      <c r="C25" s="11" t="s">
        <v>82</v>
      </c>
      <c r="D25" s="12" t="s">
        <v>28</v>
      </c>
      <c r="E25" s="134" t="s">
        <v>164</v>
      </c>
      <c r="F25" s="135"/>
      <c r="G25" s="135"/>
      <c r="H25" s="135"/>
      <c r="I25" s="22" t="s">
        <v>190</v>
      </c>
      <c r="J25" s="23">
        <v>50</v>
      </c>
      <c r="K25" s="23" t="s">
        <v>187</v>
      </c>
      <c r="L25" s="24" t="s">
        <v>12</v>
      </c>
    </row>
    <row r="26" spans="1:12" x14ac:dyDescent="0.4">
      <c r="A26" s="140" t="s">
        <v>114</v>
      </c>
      <c r="B26" s="141"/>
      <c r="C26" s="141"/>
      <c r="D26" s="142"/>
      <c r="E26" s="16" t="s">
        <v>165</v>
      </c>
      <c r="F26" s="17">
        <v>715</v>
      </c>
      <c r="G26" s="17" t="s">
        <v>164</v>
      </c>
      <c r="H26" s="17" t="s">
        <v>2</v>
      </c>
      <c r="I26" s="137" t="s">
        <v>195</v>
      </c>
      <c r="J26" s="138"/>
      <c r="K26" s="138"/>
      <c r="L26" s="139"/>
    </row>
    <row r="27" spans="1:12" x14ac:dyDescent="0.4">
      <c r="A27" s="10" t="s">
        <v>117</v>
      </c>
      <c r="B27" s="11">
        <v>125</v>
      </c>
      <c r="C27" s="11" t="s">
        <v>115</v>
      </c>
      <c r="D27" s="12" t="s">
        <v>2</v>
      </c>
      <c r="E27" s="16" t="s">
        <v>166</v>
      </c>
      <c r="F27" s="17">
        <v>100</v>
      </c>
      <c r="G27" s="17" t="s">
        <v>164</v>
      </c>
      <c r="H27" s="17" t="s">
        <v>2</v>
      </c>
      <c r="I27" s="22" t="s">
        <v>175</v>
      </c>
      <c r="J27" s="23">
        <v>606</v>
      </c>
      <c r="K27" s="23" t="s">
        <v>191</v>
      </c>
      <c r="L27" s="24" t="s">
        <v>2</v>
      </c>
    </row>
    <row r="28" spans="1:12" x14ac:dyDescent="0.4">
      <c r="A28" s="10" t="s">
        <v>116</v>
      </c>
      <c r="B28" s="11">
        <v>40</v>
      </c>
      <c r="C28" s="11" t="s">
        <v>115</v>
      </c>
      <c r="D28" s="12" t="s">
        <v>12</v>
      </c>
      <c r="E28" s="16" t="s">
        <v>167</v>
      </c>
      <c r="F28" s="17">
        <v>500</v>
      </c>
      <c r="G28" s="17" t="s">
        <v>164</v>
      </c>
      <c r="H28" s="17" t="s">
        <v>18</v>
      </c>
      <c r="I28" s="22" t="s">
        <v>196</v>
      </c>
      <c r="J28" s="23">
        <v>150</v>
      </c>
      <c r="K28" s="23" t="s">
        <v>197</v>
      </c>
      <c r="L28" s="24" t="s">
        <v>2</v>
      </c>
    </row>
    <row r="29" spans="1:12" x14ac:dyDescent="0.4">
      <c r="A29" s="10" t="s">
        <v>118</v>
      </c>
      <c r="B29" s="11">
        <v>20</v>
      </c>
      <c r="C29" s="11" t="s">
        <v>115</v>
      </c>
      <c r="D29" s="12" t="s">
        <v>16</v>
      </c>
      <c r="E29" s="16"/>
      <c r="F29" s="17"/>
      <c r="G29" s="17"/>
      <c r="H29" s="17"/>
      <c r="I29" s="137" t="s">
        <v>199</v>
      </c>
      <c r="J29" s="138"/>
      <c r="K29" s="138"/>
      <c r="L29" s="139"/>
    </row>
    <row r="30" spans="1:12" ht="27" thickBot="1" x14ac:dyDescent="0.45">
      <c r="A30" s="140" t="s">
        <v>119</v>
      </c>
      <c r="B30" s="141"/>
      <c r="C30" s="141"/>
      <c r="D30" s="142"/>
      <c r="E30" s="19" t="s">
        <v>145</v>
      </c>
      <c r="F30" s="20">
        <f>SUM(F5:F29)</f>
        <v>6757</v>
      </c>
      <c r="G30" s="20"/>
      <c r="H30" s="20"/>
      <c r="I30" s="22" t="s">
        <v>175</v>
      </c>
      <c r="J30" s="23">
        <f>540+1701</f>
        <v>2241</v>
      </c>
      <c r="K30" s="23" t="s">
        <v>198</v>
      </c>
      <c r="L30" s="24" t="s">
        <v>2</v>
      </c>
    </row>
    <row r="31" spans="1:12" x14ac:dyDescent="0.4">
      <c r="A31" s="10" t="s">
        <v>120</v>
      </c>
      <c r="B31" s="11">
        <v>299</v>
      </c>
      <c r="C31" s="11" t="s">
        <v>89</v>
      </c>
      <c r="D31" s="12" t="s">
        <v>32</v>
      </c>
      <c r="I31" s="22" t="s">
        <v>200</v>
      </c>
      <c r="J31" s="23">
        <v>208</v>
      </c>
      <c r="K31" s="23" t="s">
        <v>201</v>
      </c>
      <c r="L31" s="24" t="s">
        <v>2</v>
      </c>
    </row>
    <row r="32" spans="1:12" x14ac:dyDescent="0.4">
      <c r="A32" s="10" t="s">
        <v>121</v>
      </c>
      <c r="B32" s="11">
        <v>20</v>
      </c>
      <c r="C32" s="11" t="s">
        <v>6</v>
      </c>
      <c r="D32" s="12" t="s">
        <v>14</v>
      </c>
      <c r="E32" s="1" t="s">
        <v>204</v>
      </c>
      <c r="F32" s="1">
        <f>B58+F30+J39</f>
        <v>34247</v>
      </c>
      <c r="I32" s="22" t="s">
        <v>202</v>
      </c>
      <c r="J32" s="23">
        <v>1500</v>
      </c>
      <c r="K32" s="23" t="s">
        <v>198</v>
      </c>
      <c r="L32" s="24" t="s">
        <v>18</v>
      </c>
    </row>
    <row r="33" spans="1:12" x14ac:dyDescent="0.4">
      <c r="A33" s="10" t="s">
        <v>122</v>
      </c>
      <c r="B33" s="11">
        <v>2000</v>
      </c>
      <c r="C33" s="11" t="s">
        <v>6</v>
      </c>
      <c r="D33" s="12" t="s">
        <v>123</v>
      </c>
      <c r="I33" s="137" t="s">
        <v>203</v>
      </c>
      <c r="J33" s="138"/>
      <c r="K33" s="138"/>
      <c r="L33" s="139"/>
    </row>
    <row r="34" spans="1:12" x14ac:dyDescent="0.4">
      <c r="A34" s="10" t="s">
        <v>126</v>
      </c>
      <c r="B34" s="11">
        <v>1000</v>
      </c>
      <c r="C34" s="11" t="s">
        <v>125</v>
      </c>
      <c r="D34" s="12" t="s">
        <v>2</v>
      </c>
      <c r="I34" s="22" t="s">
        <v>175</v>
      </c>
      <c r="J34" s="23">
        <f>150+542</f>
        <v>692</v>
      </c>
      <c r="K34" s="23" t="s">
        <v>201</v>
      </c>
      <c r="L34" s="24" t="s">
        <v>2</v>
      </c>
    </row>
    <row r="35" spans="1:12" x14ac:dyDescent="0.4">
      <c r="A35" s="10" t="s">
        <v>124</v>
      </c>
      <c r="B35" s="11">
        <v>50</v>
      </c>
      <c r="C35" s="11" t="s">
        <v>125</v>
      </c>
      <c r="D35" s="12" t="s">
        <v>2</v>
      </c>
      <c r="I35" s="137" t="s">
        <v>363</v>
      </c>
      <c r="J35" s="138"/>
      <c r="K35" s="138"/>
      <c r="L35" s="139"/>
    </row>
    <row r="36" spans="1:12" x14ac:dyDescent="0.4">
      <c r="A36" s="10" t="s">
        <v>127</v>
      </c>
      <c r="B36" s="11">
        <v>20</v>
      </c>
      <c r="C36" s="11" t="s">
        <v>125</v>
      </c>
      <c r="D36" s="12" t="s">
        <v>2</v>
      </c>
      <c r="I36" s="22" t="s">
        <v>364</v>
      </c>
      <c r="J36" s="23">
        <v>1114</v>
      </c>
      <c r="K36" s="23" t="s">
        <v>89</v>
      </c>
      <c r="L36" s="24" t="s">
        <v>2</v>
      </c>
    </row>
    <row r="37" spans="1:12" x14ac:dyDescent="0.4">
      <c r="A37" s="140" t="s">
        <v>139</v>
      </c>
      <c r="B37" s="141"/>
      <c r="C37" s="141"/>
      <c r="D37" s="142"/>
      <c r="I37" s="22" t="s">
        <v>365</v>
      </c>
      <c r="J37" s="23">
        <v>1034</v>
      </c>
      <c r="K37" s="23" t="s">
        <v>89</v>
      </c>
      <c r="L37" s="24" t="s">
        <v>2</v>
      </c>
    </row>
    <row r="38" spans="1:12" x14ac:dyDescent="0.4">
      <c r="A38" s="10" t="s">
        <v>37</v>
      </c>
      <c r="B38" s="11">
        <v>525</v>
      </c>
      <c r="C38" s="11" t="s">
        <v>6</v>
      </c>
      <c r="D38" s="12" t="s">
        <v>2</v>
      </c>
      <c r="I38" s="22"/>
      <c r="J38" s="23"/>
      <c r="K38" s="23"/>
      <c r="L38" s="24"/>
    </row>
    <row r="39" spans="1:12" ht="27" thickBot="1" x14ac:dyDescent="0.45">
      <c r="A39" s="10" t="s">
        <v>128</v>
      </c>
      <c r="B39" s="11">
        <v>25</v>
      </c>
      <c r="C39" s="11" t="s">
        <v>6</v>
      </c>
      <c r="D39" s="12" t="s">
        <v>12</v>
      </c>
      <c r="I39" s="25" t="s">
        <v>171</v>
      </c>
      <c r="J39" s="26">
        <f>SUM(J5:J37)</f>
        <v>14645</v>
      </c>
      <c r="K39" s="26"/>
      <c r="L39" s="27"/>
    </row>
    <row r="40" spans="1:12" x14ac:dyDescent="0.4">
      <c r="A40" s="140" t="s">
        <v>138</v>
      </c>
      <c r="B40" s="141"/>
      <c r="C40" s="141"/>
      <c r="D40" s="142"/>
    </row>
    <row r="41" spans="1:12" x14ac:dyDescent="0.4">
      <c r="A41" s="10" t="s">
        <v>130</v>
      </c>
      <c r="B41" s="11">
        <v>50</v>
      </c>
      <c r="C41" s="11" t="s">
        <v>125</v>
      </c>
      <c r="D41" s="12" t="s">
        <v>2</v>
      </c>
    </row>
    <row r="42" spans="1:12" x14ac:dyDescent="0.4">
      <c r="A42" s="10" t="s">
        <v>129</v>
      </c>
      <c r="B42" s="11">
        <v>20</v>
      </c>
      <c r="C42" s="11" t="s">
        <v>125</v>
      </c>
      <c r="D42" s="12" t="s">
        <v>16</v>
      </c>
    </row>
    <row r="43" spans="1:12" x14ac:dyDescent="0.4">
      <c r="A43" s="10" t="s">
        <v>132</v>
      </c>
      <c r="B43" s="11">
        <v>493</v>
      </c>
      <c r="C43" s="11" t="s">
        <v>131</v>
      </c>
      <c r="D43" s="12" t="s">
        <v>2</v>
      </c>
    </row>
    <row r="44" spans="1:12" x14ac:dyDescent="0.4">
      <c r="A44" s="10" t="s">
        <v>133</v>
      </c>
      <c r="B44" s="11">
        <v>20</v>
      </c>
      <c r="C44" s="11" t="s">
        <v>131</v>
      </c>
      <c r="D44" s="12" t="s">
        <v>16</v>
      </c>
    </row>
    <row r="45" spans="1:12" x14ac:dyDescent="0.4">
      <c r="A45" s="140" t="s">
        <v>136</v>
      </c>
      <c r="B45" s="141"/>
      <c r="C45" s="141"/>
      <c r="D45" s="142"/>
    </row>
    <row r="46" spans="1:12" x14ac:dyDescent="0.4">
      <c r="A46" s="10" t="s">
        <v>140</v>
      </c>
      <c r="B46" s="11">
        <v>1439</v>
      </c>
      <c r="C46" s="11" t="s">
        <v>137</v>
      </c>
      <c r="D46" s="12" t="s">
        <v>2</v>
      </c>
    </row>
    <row r="47" spans="1:12" x14ac:dyDescent="0.4">
      <c r="A47" s="10" t="s">
        <v>141</v>
      </c>
      <c r="B47" s="11">
        <v>200</v>
      </c>
      <c r="C47" s="11" t="s">
        <v>137</v>
      </c>
      <c r="D47" s="12" t="s">
        <v>12</v>
      </c>
    </row>
    <row r="48" spans="1:12" x14ac:dyDescent="0.4">
      <c r="A48" s="10" t="s">
        <v>84</v>
      </c>
      <c r="B48" s="11">
        <v>40</v>
      </c>
      <c r="C48" s="11" t="s">
        <v>137</v>
      </c>
      <c r="D48" s="12" t="s">
        <v>14</v>
      </c>
    </row>
    <row r="49" spans="1:4" x14ac:dyDescent="0.4">
      <c r="A49" s="10" t="s">
        <v>129</v>
      </c>
      <c r="B49" s="11">
        <v>20</v>
      </c>
      <c r="C49" s="11" t="s">
        <v>137</v>
      </c>
      <c r="D49" s="12" t="s">
        <v>16</v>
      </c>
    </row>
    <row r="50" spans="1:4" x14ac:dyDescent="0.4">
      <c r="A50" s="10" t="s">
        <v>142</v>
      </c>
      <c r="B50" s="11">
        <v>275</v>
      </c>
      <c r="C50" s="11" t="s">
        <v>143</v>
      </c>
      <c r="D50" s="12" t="s">
        <v>32</v>
      </c>
    </row>
    <row r="51" spans="1:4" x14ac:dyDescent="0.4">
      <c r="A51" s="10" t="s">
        <v>144</v>
      </c>
      <c r="B51" s="11">
        <v>60</v>
      </c>
      <c r="C51" s="11"/>
      <c r="D51" s="12"/>
    </row>
    <row r="52" spans="1:4" x14ac:dyDescent="0.4">
      <c r="A52" s="140" t="s">
        <v>168</v>
      </c>
      <c r="B52" s="141"/>
      <c r="C52" s="141"/>
      <c r="D52" s="142"/>
    </row>
    <row r="53" spans="1:4" x14ac:dyDescent="0.4">
      <c r="A53" s="10" t="s">
        <v>169</v>
      </c>
      <c r="B53" s="11">
        <v>100</v>
      </c>
      <c r="C53" s="11" t="s">
        <v>369</v>
      </c>
      <c r="D53" s="12" t="s">
        <v>12</v>
      </c>
    </row>
    <row r="54" spans="1:4" x14ac:dyDescent="0.4">
      <c r="A54" s="140" t="s">
        <v>360</v>
      </c>
      <c r="B54" s="141"/>
      <c r="C54" s="141"/>
      <c r="D54" s="142"/>
    </row>
    <row r="55" spans="1:4" x14ac:dyDescent="0.4">
      <c r="A55" s="10" t="s">
        <v>361</v>
      </c>
      <c r="B55" s="11">
        <v>755</v>
      </c>
      <c r="C55" s="11" t="s">
        <v>137</v>
      </c>
      <c r="D55" s="12" t="s">
        <v>2</v>
      </c>
    </row>
    <row r="56" spans="1:4" x14ac:dyDescent="0.4">
      <c r="A56" s="10" t="s">
        <v>362</v>
      </c>
      <c r="B56" s="11">
        <v>1410</v>
      </c>
      <c r="C56" s="11" t="s">
        <v>137</v>
      </c>
      <c r="D56" s="12" t="s">
        <v>2</v>
      </c>
    </row>
    <row r="57" spans="1:4" x14ac:dyDescent="0.4">
      <c r="A57" s="10"/>
      <c r="B57" s="11"/>
      <c r="C57" s="11"/>
      <c r="D57" s="12"/>
    </row>
    <row r="58" spans="1:4" ht="27" thickBot="1" x14ac:dyDescent="0.45">
      <c r="A58" s="13" t="s">
        <v>99</v>
      </c>
      <c r="B58" s="14">
        <f>SUM(B5:B56)</f>
        <v>12845</v>
      </c>
      <c r="C58" s="14"/>
      <c r="D58" s="15"/>
    </row>
    <row r="60" spans="1:4" x14ac:dyDescent="0.4">
      <c r="C60" s="3"/>
      <c r="D60" s="3"/>
    </row>
    <row r="64" spans="1:4" x14ac:dyDescent="0.4">
      <c r="A64" s="151"/>
      <c r="B64" s="151"/>
      <c r="C64" s="151"/>
      <c r="D64" s="151"/>
    </row>
    <row r="67" spans="1:4" x14ac:dyDescent="0.4">
      <c r="A67" s="151"/>
      <c r="B67" s="151"/>
      <c r="C67" s="151"/>
      <c r="D67" s="151"/>
    </row>
    <row r="70" spans="1:4" x14ac:dyDescent="0.4">
      <c r="A70" s="151"/>
      <c r="B70" s="151"/>
      <c r="C70" s="151"/>
      <c r="D70" s="151"/>
    </row>
  </sheetData>
  <mergeCells count="33">
    <mergeCell ref="E11:H11"/>
    <mergeCell ref="E14:H14"/>
    <mergeCell ref="A52:D52"/>
    <mergeCell ref="I7:L7"/>
    <mergeCell ref="I10:L10"/>
    <mergeCell ref="I15:L15"/>
    <mergeCell ref="I18:L18"/>
    <mergeCell ref="I23:L23"/>
    <mergeCell ref="I26:L26"/>
    <mergeCell ref="I29:L29"/>
    <mergeCell ref="I33:L33"/>
    <mergeCell ref="E25:H25"/>
    <mergeCell ref="I35:L35"/>
    <mergeCell ref="A1:L1"/>
    <mergeCell ref="A2:D2"/>
    <mergeCell ref="E2:H2"/>
    <mergeCell ref="I2:L2"/>
    <mergeCell ref="A4:D4"/>
    <mergeCell ref="E4:H4"/>
    <mergeCell ref="I4:L4"/>
    <mergeCell ref="A64:D64"/>
    <mergeCell ref="E20:H20"/>
    <mergeCell ref="A67:D67"/>
    <mergeCell ref="A70:D70"/>
    <mergeCell ref="A13:D13"/>
    <mergeCell ref="A15:D15"/>
    <mergeCell ref="A19:D19"/>
    <mergeCell ref="A26:D26"/>
    <mergeCell ref="A30:D30"/>
    <mergeCell ref="A37:D37"/>
    <mergeCell ref="A40:D40"/>
    <mergeCell ref="A45:D45"/>
    <mergeCell ref="A54:D54"/>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D10D-312D-4975-8AA5-D9F46C29C7F8}">
  <dimension ref="A1:R94"/>
  <sheetViews>
    <sheetView topLeftCell="A7" zoomScale="70" zoomScaleNormal="70" workbookViewId="0">
      <selection activeCell="C39" sqref="C39"/>
    </sheetView>
  </sheetViews>
  <sheetFormatPr defaultRowHeight="26.25" x14ac:dyDescent="0.4"/>
  <cols>
    <col min="1" max="1" width="133.5703125" style="1" bestFit="1" customWidth="1"/>
    <col min="2" max="2" width="14.85546875" style="1" bestFit="1" customWidth="1"/>
    <col min="3" max="3" width="88.5703125" style="1" bestFit="1" customWidth="1"/>
    <col min="4" max="4" width="58.7109375" style="1" bestFit="1" customWidth="1"/>
    <col min="5" max="5" width="96.7109375" style="1" bestFit="1" customWidth="1"/>
    <col min="6" max="6" width="14.85546875" style="1" bestFit="1" customWidth="1"/>
    <col min="7" max="7" width="22.140625" style="1" bestFit="1" customWidth="1"/>
    <col min="8" max="8" width="53.85546875" style="1" bestFit="1" customWidth="1"/>
    <col min="9" max="9" width="119.140625" style="1" bestFit="1" customWidth="1"/>
    <col min="10" max="10" width="14.85546875" style="1" bestFit="1" customWidth="1"/>
    <col min="11" max="11" width="47.42578125" style="1" bestFit="1" customWidth="1"/>
    <col min="12" max="12" width="58.7109375" style="1" bestFit="1" customWidth="1"/>
    <col min="13" max="16384" width="9.140625" style="1"/>
  </cols>
  <sheetData>
    <row r="1" spans="1:18" ht="27" thickBot="1" x14ac:dyDescent="0.45">
      <c r="A1" s="143" t="str">
        <f>"Icy Wilderness (total " &amp; F16 &amp; ")"</f>
        <v>Icy Wilderness (total 33988)</v>
      </c>
      <c r="B1" s="144"/>
      <c r="C1" s="144"/>
      <c r="D1" s="144"/>
      <c r="E1" s="144"/>
      <c r="F1" s="144"/>
      <c r="G1" s="144"/>
      <c r="H1" s="144"/>
      <c r="I1" s="144"/>
      <c r="J1" s="144"/>
      <c r="K1" s="144"/>
      <c r="L1" s="145"/>
      <c r="N1" s="2"/>
      <c r="P1" s="2"/>
      <c r="R1" s="2"/>
    </row>
    <row r="2" spans="1:18" ht="27" thickBot="1" x14ac:dyDescent="0.45">
      <c r="A2" s="122" t="s">
        <v>207</v>
      </c>
      <c r="B2" s="123"/>
      <c r="C2" s="123"/>
      <c r="D2" s="124"/>
      <c r="E2" s="125" t="s">
        <v>228</v>
      </c>
      <c r="F2" s="126"/>
      <c r="G2" s="126"/>
      <c r="H2" s="127"/>
      <c r="I2" s="128" t="s">
        <v>240</v>
      </c>
      <c r="J2" s="129"/>
      <c r="K2" s="129"/>
      <c r="L2" s="130"/>
    </row>
    <row r="3" spans="1:18" ht="27" thickBot="1" x14ac:dyDescent="0.45">
      <c r="A3" s="36" t="s">
        <v>0</v>
      </c>
      <c r="B3" s="37" t="s">
        <v>1</v>
      </c>
      <c r="C3" s="37" t="s">
        <v>19</v>
      </c>
      <c r="D3" s="38" t="s">
        <v>20</v>
      </c>
      <c r="E3" s="52" t="s">
        <v>0</v>
      </c>
      <c r="F3" s="39" t="s">
        <v>1</v>
      </c>
      <c r="G3" s="39" t="s">
        <v>19</v>
      </c>
      <c r="H3" s="40" t="s">
        <v>20</v>
      </c>
      <c r="I3" s="41" t="s">
        <v>0</v>
      </c>
      <c r="J3" s="42" t="s">
        <v>1</v>
      </c>
      <c r="K3" s="42" t="s">
        <v>19</v>
      </c>
      <c r="L3" s="43" t="s">
        <v>20</v>
      </c>
    </row>
    <row r="4" spans="1:18" x14ac:dyDescent="0.4">
      <c r="A4" s="131" t="s">
        <v>64</v>
      </c>
      <c r="B4" s="152"/>
      <c r="C4" s="152"/>
      <c r="D4" s="153"/>
      <c r="E4" s="146" t="s">
        <v>229</v>
      </c>
      <c r="F4" s="147"/>
      <c r="G4" s="147"/>
      <c r="H4" s="147"/>
      <c r="I4" s="148" t="s">
        <v>64</v>
      </c>
      <c r="J4" s="149"/>
      <c r="K4" s="149"/>
      <c r="L4" s="150"/>
    </row>
    <row r="5" spans="1:18" x14ac:dyDescent="0.4">
      <c r="A5" s="10" t="s">
        <v>25</v>
      </c>
      <c r="B5" s="45">
        <v>25</v>
      </c>
      <c r="C5" s="46" t="s">
        <v>2</v>
      </c>
      <c r="D5" s="47" t="s">
        <v>26</v>
      </c>
      <c r="E5" s="30" t="s">
        <v>237</v>
      </c>
      <c r="F5" s="31">
        <v>1813</v>
      </c>
      <c r="G5" s="32" t="s">
        <v>2</v>
      </c>
      <c r="H5" s="32" t="s">
        <v>2</v>
      </c>
      <c r="I5" s="55" t="s">
        <v>175</v>
      </c>
      <c r="J5" s="58">
        <v>1073</v>
      </c>
      <c r="K5" s="59" t="s">
        <v>2</v>
      </c>
      <c r="L5" s="60" t="s">
        <v>2</v>
      </c>
    </row>
    <row r="6" spans="1:18" x14ac:dyDescent="0.4">
      <c r="A6" s="10" t="s">
        <v>103</v>
      </c>
      <c r="B6" s="45">
        <v>80</v>
      </c>
      <c r="C6" s="46" t="s">
        <v>2</v>
      </c>
      <c r="D6" s="47" t="s">
        <v>6</v>
      </c>
      <c r="E6" s="30" t="s">
        <v>230</v>
      </c>
      <c r="F6" s="31">
        <v>500</v>
      </c>
      <c r="G6" s="32" t="s">
        <v>2</v>
      </c>
      <c r="H6" s="32" t="s">
        <v>231</v>
      </c>
      <c r="I6" s="55" t="s">
        <v>241</v>
      </c>
      <c r="J6" s="58">
        <v>200</v>
      </c>
      <c r="K6" s="59" t="s">
        <v>2</v>
      </c>
      <c r="L6" s="60" t="s">
        <v>242</v>
      </c>
    </row>
    <row r="7" spans="1:18" x14ac:dyDescent="0.4">
      <c r="A7" s="140" t="s">
        <v>217</v>
      </c>
      <c r="B7" s="141"/>
      <c r="C7" s="141"/>
      <c r="D7" s="142"/>
      <c r="E7" s="30" t="s">
        <v>232</v>
      </c>
      <c r="F7" s="31">
        <v>500</v>
      </c>
      <c r="G7" s="32" t="s">
        <v>2</v>
      </c>
      <c r="H7" s="32" t="s">
        <v>231</v>
      </c>
      <c r="I7" s="55" t="s">
        <v>246</v>
      </c>
      <c r="J7" s="58">
        <v>180</v>
      </c>
      <c r="K7" s="59" t="s">
        <v>2</v>
      </c>
      <c r="L7" s="60" t="s">
        <v>12</v>
      </c>
    </row>
    <row r="8" spans="1:18" x14ac:dyDescent="0.4">
      <c r="A8" s="10" t="s">
        <v>175</v>
      </c>
      <c r="B8" s="45">
        <v>415</v>
      </c>
      <c r="C8" s="46" t="s">
        <v>49</v>
      </c>
      <c r="D8" s="47" t="s">
        <v>2</v>
      </c>
      <c r="E8" s="30" t="s">
        <v>233</v>
      </c>
      <c r="F8" s="31">
        <v>400</v>
      </c>
      <c r="G8" s="32" t="s">
        <v>2</v>
      </c>
      <c r="H8" s="32" t="s">
        <v>234</v>
      </c>
      <c r="I8" s="55" t="s">
        <v>243</v>
      </c>
      <c r="J8" s="58">
        <v>80</v>
      </c>
      <c r="K8" s="59" t="s">
        <v>2</v>
      </c>
      <c r="L8" s="60" t="s">
        <v>151</v>
      </c>
    </row>
    <row r="9" spans="1:18" x14ac:dyDescent="0.4">
      <c r="A9" s="10" t="s">
        <v>209</v>
      </c>
      <c r="B9" s="45">
        <v>130</v>
      </c>
      <c r="C9" s="46" t="s">
        <v>210</v>
      </c>
      <c r="D9" s="47" t="s">
        <v>2</v>
      </c>
      <c r="E9" s="30" t="s">
        <v>235</v>
      </c>
      <c r="F9" s="31">
        <v>200</v>
      </c>
      <c r="G9" s="32" t="s">
        <v>2</v>
      </c>
      <c r="H9" s="32" t="s">
        <v>236</v>
      </c>
      <c r="I9" s="55" t="s">
        <v>244</v>
      </c>
      <c r="J9" s="58">
        <v>75</v>
      </c>
      <c r="K9" s="59" t="s">
        <v>2</v>
      </c>
      <c r="L9" s="60" t="s">
        <v>220</v>
      </c>
    </row>
    <row r="10" spans="1:18" x14ac:dyDescent="0.4">
      <c r="A10" s="10" t="s">
        <v>216</v>
      </c>
      <c r="B10" s="45">
        <v>25</v>
      </c>
      <c r="C10" s="46" t="s">
        <v>6</v>
      </c>
      <c r="D10" s="47" t="s">
        <v>2</v>
      </c>
      <c r="E10" s="134" t="s">
        <v>363</v>
      </c>
      <c r="F10" s="135"/>
      <c r="G10" s="135"/>
      <c r="H10" s="135"/>
      <c r="I10" s="55" t="s">
        <v>85</v>
      </c>
      <c r="J10" s="58">
        <v>20</v>
      </c>
      <c r="K10" s="59" t="s">
        <v>2</v>
      </c>
      <c r="L10" s="60" t="s">
        <v>16</v>
      </c>
    </row>
    <row r="11" spans="1:18" x14ac:dyDescent="0.4">
      <c r="A11" s="140" t="s">
        <v>211</v>
      </c>
      <c r="B11" s="141"/>
      <c r="C11" s="141"/>
      <c r="D11" s="142"/>
      <c r="E11" s="30" t="s">
        <v>364</v>
      </c>
      <c r="F11" s="31">
        <v>1143</v>
      </c>
      <c r="G11" s="17" t="s">
        <v>2</v>
      </c>
      <c r="H11" s="17" t="s">
        <v>2</v>
      </c>
      <c r="I11" s="55" t="s">
        <v>247</v>
      </c>
      <c r="J11" s="58">
        <v>1525</v>
      </c>
      <c r="K11" s="59" t="s">
        <v>2</v>
      </c>
      <c r="L11" s="60" t="s">
        <v>18</v>
      </c>
    </row>
    <row r="12" spans="1:18" x14ac:dyDescent="0.4">
      <c r="A12" s="10" t="s">
        <v>212</v>
      </c>
      <c r="B12" s="45">
        <v>1006</v>
      </c>
      <c r="C12" s="46" t="s">
        <v>6</v>
      </c>
      <c r="D12" s="47" t="s">
        <v>2</v>
      </c>
      <c r="E12" s="30" t="s">
        <v>365</v>
      </c>
      <c r="F12" s="31">
        <v>1075</v>
      </c>
      <c r="G12" s="17" t="s">
        <v>2</v>
      </c>
      <c r="H12" s="17" t="s">
        <v>2</v>
      </c>
      <c r="I12" s="137" t="s">
        <v>248</v>
      </c>
      <c r="J12" s="138"/>
      <c r="K12" s="138"/>
      <c r="L12" s="139"/>
    </row>
    <row r="13" spans="1:18" x14ac:dyDescent="0.4">
      <c r="A13" s="10" t="s">
        <v>129</v>
      </c>
      <c r="B13" s="45">
        <v>100</v>
      </c>
      <c r="C13" s="46" t="s">
        <v>6</v>
      </c>
      <c r="D13" s="47" t="s">
        <v>16</v>
      </c>
      <c r="E13" s="16"/>
      <c r="F13" s="17"/>
      <c r="G13" s="17"/>
      <c r="H13" s="17"/>
      <c r="I13" s="55" t="s">
        <v>175</v>
      </c>
      <c r="J13" s="58">
        <v>683</v>
      </c>
      <c r="K13" s="59" t="s">
        <v>249</v>
      </c>
      <c r="L13" s="60" t="s">
        <v>2</v>
      </c>
    </row>
    <row r="14" spans="1:18" ht="27" thickBot="1" x14ac:dyDescent="0.45">
      <c r="A14" s="10" t="s">
        <v>213</v>
      </c>
      <c r="B14" s="45">
        <v>175</v>
      </c>
      <c r="C14" s="46" t="s">
        <v>6</v>
      </c>
      <c r="D14" s="47" t="s">
        <v>214</v>
      </c>
      <c r="E14" s="53" t="s">
        <v>238</v>
      </c>
      <c r="F14" s="54">
        <f>SUM(F5:F12)</f>
        <v>5631</v>
      </c>
      <c r="G14" s="20"/>
      <c r="H14" s="20"/>
      <c r="I14" s="55" t="s">
        <v>241</v>
      </c>
      <c r="J14" s="58">
        <v>400</v>
      </c>
      <c r="K14" s="59" t="s">
        <v>249</v>
      </c>
      <c r="L14" s="60" t="s">
        <v>242</v>
      </c>
    </row>
    <row r="15" spans="1:18" x14ac:dyDescent="0.4">
      <c r="A15" s="10" t="s">
        <v>215</v>
      </c>
      <c r="B15" s="45">
        <v>20</v>
      </c>
      <c r="C15" s="46" t="s">
        <v>6</v>
      </c>
      <c r="D15" s="47" t="s">
        <v>12</v>
      </c>
      <c r="I15" s="55" t="s">
        <v>250</v>
      </c>
      <c r="J15" s="58">
        <v>58</v>
      </c>
      <c r="K15" s="59" t="s">
        <v>249</v>
      </c>
      <c r="L15" s="60" t="s">
        <v>12</v>
      </c>
    </row>
    <row r="16" spans="1:18" x14ac:dyDescent="0.4">
      <c r="A16" s="10" t="s">
        <v>150</v>
      </c>
      <c r="B16" s="45">
        <v>40</v>
      </c>
      <c r="C16" s="46" t="s">
        <v>6</v>
      </c>
      <c r="D16" s="47" t="s">
        <v>151</v>
      </c>
      <c r="E16" s="1" t="s">
        <v>276</v>
      </c>
      <c r="F16" s="1">
        <f>B50+F14+J37</f>
        <v>33988</v>
      </c>
      <c r="I16" s="55" t="s">
        <v>251</v>
      </c>
      <c r="J16" s="58">
        <v>25</v>
      </c>
      <c r="K16" s="59" t="s">
        <v>252</v>
      </c>
      <c r="L16" s="60" t="s">
        <v>2</v>
      </c>
    </row>
    <row r="17" spans="1:12" x14ac:dyDescent="0.4">
      <c r="A17" s="10" t="s">
        <v>218</v>
      </c>
      <c r="B17" s="45">
        <v>35</v>
      </c>
      <c r="C17" s="46" t="s">
        <v>6</v>
      </c>
      <c r="D17" s="47" t="s">
        <v>214</v>
      </c>
      <c r="I17" s="55" t="s">
        <v>243</v>
      </c>
      <c r="J17" s="58">
        <v>20</v>
      </c>
      <c r="K17" s="59" t="s">
        <v>249</v>
      </c>
      <c r="L17" s="60" t="s">
        <v>151</v>
      </c>
    </row>
    <row r="18" spans="1:12" x14ac:dyDescent="0.4">
      <c r="A18" s="10" t="s">
        <v>219</v>
      </c>
      <c r="B18" s="45">
        <v>50</v>
      </c>
      <c r="C18" s="46" t="s">
        <v>6</v>
      </c>
      <c r="D18" s="47" t="s">
        <v>220</v>
      </c>
      <c r="I18" s="55" t="s">
        <v>85</v>
      </c>
      <c r="J18" s="58">
        <v>20</v>
      </c>
      <c r="K18" s="59" t="s">
        <v>249</v>
      </c>
      <c r="L18" s="60" t="s">
        <v>16</v>
      </c>
    </row>
    <row r="19" spans="1:12" x14ac:dyDescent="0.4">
      <c r="A19" s="140" t="s">
        <v>273</v>
      </c>
      <c r="B19" s="141"/>
      <c r="C19" s="141"/>
      <c r="D19" s="142"/>
      <c r="I19" s="137" t="s">
        <v>253</v>
      </c>
      <c r="J19" s="138"/>
      <c r="K19" s="138"/>
      <c r="L19" s="139"/>
    </row>
    <row r="20" spans="1:12" x14ac:dyDescent="0.4">
      <c r="A20" s="48" t="s">
        <v>37</v>
      </c>
      <c r="B20" s="45">
        <v>211</v>
      </c>
      <c r="C20" s="46" t="s">
        <v>221</v>
      </c>
      <c r="D20" s="47" t="s">
        <v>2</v>
      </c>
      <c r="I20" s="55" t="s">
        <v>175</v>
      </c>
      <c r="J20" s="58">
        <f>1822+253</f>
        <v>2075</v>
      </c>
      <c r="K20" s="59" t="s">
        <v>254</v>
      </c>
      <c r="L20" s="60" t="s">
        <v>2</v>
      </c>
    </row>
    <row r="21" spans="1:12" x14ac:dyDescent="0.4">
      <c r="A21" s="48" t="s">
        <v>222</v>
      </c>
      <c r="B21" s="45">
        <v>20</v>
      </c>
      <c r="C21" s="46" t="s">
        <v>221</v>
      </c>
      <c r="D21" s="47" t="s">
        <v>12</v>
      </c>
      <c r="I21" s="55" t="s">
        <v>255</v>
      </c>
      <c r="J21" s="58">
        <v>40</v>
      </c>
      <c r="K21" s="59" t="s">
        <v>254</v>
      </c>
      <c r="L21" s="60" t="s">
        <v>12</v>
      </c>
    </row>
    <row r="22" spans="1:12" x14ac:dyDescent="0.4">
      <c r="A22" s="48" t="s">
        <v>129</v>
      </c>
      <c r="B22" s="45">
        <v>20</v>
      </c>
      <c r="C22" s="46" t="s">
        <v>221</v>
      </c>
      <c r="D22" s="47" t="s">
        <v>16</v>
      </c>
      <c r="I22" s="55" t="s">
        <v>245</v>
      </c>
      <c r="J22" s="58">
        <v>50</v>
      </c>
      <c r="K22" s="59" t="s">
        <v>254</v>
      </c>
      <c r="L22" s="60" t="s">
        <v>18</v>
      </c>
    </row>
    <row r="23" spans="1:12" x14ac:dyDescent="0.4">
      <c r="A23" s="48" t="s">
        <v>223</v>
      </c>
      <c r="B23" s="45">
        <v>11</v>
      </c>
      <c r="C23" s="46" t="s">
        <v>224</v>
      </c>
      <c r="D23" s="47" t="s">
        <v>2</v>
      </c>
      <c r="I23" s="55" t="s">
        <v>129</v>
      </c>
      <c r="J23" s="58">
        <v>80</v>
      </c>
      <c r="K23" s="59" t="s">
        <v>254</v>
      </c>
      <c r="L23" s="60" t="s">
        <v>16</v>
      </c>
    </row>
    <row r="24" spans="1:12" x14ac:dyDescent="0.4">
      <c r="A24" s="48" t="s">
        <v>226</v>
      </c>
      <c r="B24" s="45">
        <v>630</v>
      </c>
      <c r="C24" s="46" t="s">
        <v>225</v>
      </c>
      <c r="D24" s="47" t="s">
        <v>2</v>
      </c>
      <c r="I24" s="55" t="s">
        <v>241</v>
      </c>
      <c r="J24" s="58">
        <v>225</v>
      </c>
      <c r="K24" s="59" t="s">
        <v>254</v>
      </c>
      <c r="L24" s="60" t="s">
        <v>242</v>
      </c>
    </row>
    <row r="25" spans="1:12" x14ac:dyDescent="0.4">
      <c r="A25" s="48" t="s">
        <v>227</v>
      </c>
      <c r="B25" s="45">
        <v>25</v>
      </c>
      <c r="C25" s="46" t="s">
        <v>225</v>
      </c>
      <c r="D25" s="47" t="s">
        <v>214</v>
      </c>
      <c r="I25" s="55" t="s">
        <v>256</v>
      </c>
      <c r="J25" s="58">
        <f>59871-59846</f>
        <v>25</v>
      </c>
      <c r="K25" s="59" t="s">
        <v>254</v>
      </c>
      <c r="L25" s="60" t="s">
        <v>77</v>
      </c>
    </row>
    <row r="26" spans="1:12" x14ac:dyDescent="0.4">
      <c r="A26" s="140" t="s">
        <v>527</v>
      </c>
      <c r="B26" s="141"/>
      <c r="C26" s="141"/>
      <c r="D26" s="142"/>
      <c r="I26" s="55" t="s">
        <v>260</v>
      </c>
      <c r="J26" s="58">
        <v>201</v>
      </c>
      <c r="K26" s="59" t="s">
        <v>254</v>
      </c>
      <c r="L26" s="60" t="s">
        <v>12</v>
      </c>
    </row>
    <row r="27" spans="1:12" x14ac:dyDescent="0.4">
      <c r="A27" s="48" t="s">
        <v>265</v>
      </c>
      <c r="B27" s="45">
        <v>522</v>
      </c>
      <c r="C27" s="46" t="s">
        <v>526</v>
      </c>
      <c r="D27" s="47" t="s">
        <v>2</v>
      </c>
      <c r="I27" s="55" t="s">
        <v>160</v>
      </c>
      <c r="J27" s="58">
        <v>20</v>
      </c>
      <c r="K27" s="59" t="s">
        <v>254</v>
      </c>
      <c r="L27" s="60" t="s">
        <v>14</v>
      </c>
    </row>
    <row r="28" spans="1:12" x14ac:dyDescent="0.4">
      <c r="A28" s="48" t="s">
        <v>267</v>
      </c>
      <c r="B28" s="45">
        <v>175</v>
      </c>
      <c r="C28" s="46" t="s">
        <v>526</v>
      </c>
      <c r="D28" s="47" t="s">
        <v>2</v>
      </c>
      <c r="I28" s="55" t="s">
        <v>259</v>
      </c>
      <c r="J28" s="58">
        <v>5000</v>
      </c>
      <c r="K28" s="59" t="s">
        <v>254</v>
      </c>
      <c r="L28" s="60" t="s">
        <v>2</v>
      </c>
    </row>
    <row r="29" spans="1:12" x14ac:dyDescent="0.4">
      <c r="A29" s="48" t="s">
        <v>272</v>
      </c>
      <c r="B29" s="45">
        <v>1000</v>
      </c>
      <c r="C29" s="46" t="s">
        <v>526</v>
      </c>
      <c r="D29" s="47" t="s">
        <v>2</v>
      </c>
      <c r="I29" s="55" t="s">
        <v>261</v>
      </c>
      <c r="J29" s="58">
        <v>1500</v>
      </c>
      <c r="K29" s="59" t="s">
        <v>254</v>
      </c>
      <c r="L29" s="60" t="s">
        <v>69</v>
      </c>
    </row>
    <row r="30" spans="1:12" x14ac:dyDescent="0.4">
      <c r="A30" s="48" t="s">
        <v>270</v>
      </c>
      <c r="B30" s="45">
        <v>20</v>
      </c>
      <c r="C30" s="46" t="s">
        <v>526</v>
      </c>
      <c r="D30" s="47" t="s">
        <v>528</v>
      </c>
      <c r="I30" s="55" t="s">
        <v>263</v>
      </c>
      <c r="J30" s="58">
        <f>390+225</f>
        <v>615</v>
      </c>
      <c r="K30" s="59" t="s">
        <v>262</v>
      </c>
      <c r="L30" s="60" t="s">
        <v>2</v>
      </c>
    </row>
    <row r="31" spans="1:12" x14ac:dyDescent="0.4">
      <c r="A31" s="140" t="s">
        <v>370</v>
      </c>
      <c r="B31" s="141"/>
      <c r="C31" s="141"/>
      <c r="D31" s="142"/>
      <c r="I31" s="137" t="s">
        <v>264</v>
      </c>
      <c r="J31" s="138"/>
      <c r="K31" s="138"/>
      <c r="L31" s="139"/>
    </row>
    <row r="32" spans="1:12" x14ac:dyDescent="0.4">
      <c r="A32" s="48" t="s">
        <v>270</v>
      </c>
      <c r="B32" s="45">
        <v>20</v>
      </c>
      <c r="C32" s="46" t="s">
        <v>529</v>
      </c>
      <c r="D32" s="47" t="s">
        <v>528</v>
      </c>
      <c r="I32" s="55" t="s">
        <v>266</v>
      </c>
      <c r="J32" s="58">
        <f>73352-68852</f>
        <v>4500</v>
      </c>
      <c r="K32" s="59" t="s">
        <v>262</v>
      </c>
      <c r="L32" s="60" t="s">
        <v>2</v>
      </c>
    </row>
    <row r="33" spans="1:12" x14ac:dyDescent="0.4">
      <c r="A33" s="48" t="s">
        <v>268</v>
      </c>
      <c r="B33" s="45">
        <v>20</v>
      </c>
      <c r="C33" s="46" t="s">
        <v>529</v>
      </c>
      <c r="D33" s="47" t="s">
        <v>528</v>
      </c>
      <c r="I33" s="137" t="s">
        <v>257</v>
      </c>
      <c r="J33" s="138"/>
      <c r="K33" s="138"/>
      <c r="L33" s="139"/>
    </row>
    <row r="34" spans="1:12" x14ac:dyDescent="0.4">
      <c r="A34" s="140" t="s">
        <v>275</v>
      </c>
      <c r="B34" s="141"/>
      <c r="C34" s="141"/>
      <c r="D34" s="142"/>
      <c r="I34" s="55" t="s">
        <v>129</v>
      </c>
      <c r="J34" s="58">
        <v>20</v>
      </c>
      <c r="K34" s="59" t="s">
        <v>258</v>
      </c>
      <c r="L34" s="60" t="s">
        <v>16</v>
      </c>
    </row>
    <row r="35" spans="1:12" x14ac:dyDescent="0.4">
      <c r="A35" s="48" t="s">
        <v>175</v>
      </c>
      <c r="B35" s="45">
        <v>160</v>
      </c>
      <c r="C35" s="46" t="s">
        <v>530</v>
      </c>
      <c r="D35" s="47" t="s">
        <v>2</v>
      </c>
      <c r="I35" s="55" t="s">
        <v>255</v>
      </c>
      <c r="J35" s="58">
        <v>60</v>
      </c>
      <c r="K35" s="59" t="s">
        <v>258</v>
      </c>
      <c r="L35" s="60" t="s">
        <v>12</v>
      </c>
    </row>
    <row r="36" spans="1:12" x14ac:dyDescent="0.4">
      <c r="A36" s="48" t="s">
        <v>270</v>
      </c>
      <c r="B36" s="45">
        <v>20</v>
      </c>
      <c r="C36" s="46" t="s">
        <v>530</v>
      </c>
      <c r="D36" s="47" t="s">
        <v>528</v>
      </c>
      <c r="I36" s="22"/>
      <c r="J36" s="23"/>
      <c r="K36" s="23"/>
      <c r="L36" s="24"/>
    </row>
    <row r="37" spans="1:12" ht="27" thickBot="1" x14ac:dyDescent="0.45">
      <c r="A37" s="140" t="s">
        <v>372</v>
      </c>
      <c r="B37" s="141"/>
      <c r="C37" s="141"/>
      <c r="D37" s="142"/>
      <c r="I37" s="56" t="s">
        <v>239</v>
      </c>
      <c r="J37" s="57">
        <f>SUM(J5:J35)</f>
        <v>18770</v>
      </c>
      <c r="K37" s="26"/>
      <c r="L37" s="27"/>
    </row>
    <row r="38" spans="1:12" x14ac:dyDescent="0.4">
      <c r="A38" s="48" t="s">
        <v>265</v>
      </c>
      <c r="B38" s="45">
        <v>130</v>
      </c>
      <c r="C38" s="46" t="s">
        <v>531</v>
      </c>
      <c r="D38" s="47" t="s">
        <v>2</v>
      </c>
    </row>
    <row r="39" spans="1:12" x14ac:dyDescent="0.4">
      <c r="A39" s="48" t="s">
        <v>271</v>
      </c>
      <c r="B39" s="45">
        <v>50</v>
      </c>
      <c r="C39" s="46" t="s">
        <v>531</v>
      </c>
      <c r="D39" s="47" t="s">
        <v>2</v>
      </c>
    </row>
    <row r="40" spans="1:12" x14ac:dyDescent="0.4">
      <c r="A40" s="10" t="s">
        <v>150</v>
      </c>
      <c r="B40" s="45">
        <v>20</v>
      </c>
      <c r="C40" s="46" t="s">
        <v>531</v>
      </c>
      <c r="D40" s="47" t="s">
        <v>2</v>
      </c>
    </row>
    <row r="41" spans="1:12" x14ac:dyDescent="0.4">
      <c r="A41" s="140" t="s">
        <v>373</v>
      </c>
      <c r="B41" s="141"/>
      <c r="C41" s="141"/>
      <c r="D41" s="142"/>
    </row>
    <row r="42" spans="1:12" x14ac:dyDescent="0.4">
      <c r="A42" s="48" t="s">
        <v>175</v>
      </c>
      <c r="B42" s="45">
        <v>295</v>
      </c>
      <c r="C42" s="46" t="s">
        <v>532</v>
      </c>
      <c r="D42" s="47" t="s">
        <v>2</v>
      </c>
    </row>
    <row r="43" spans="1:12" x14ac:dyDescent="0.4">
      <c r="A43" s="48" t="s">
        <v>267</v>
      </c>
      <c r="B43" s="45">
        <v>75</v>
      </c>
      <c r="C43" s="46" t="s">
        <v>532</v>
      </c>
      <c r="D43" s="47" t="s">
        <v>2</v>
      </c>
    </row>
    <row r="44" spans="1:12" x14ac:dyDescent="0.4">
      <c r="A44" s="140" t="s">
        <v>374</v>
      </c>
      <c r="B44" s="141"/>
      <c r="C44" s="141"/>
      <c r="D44" s="142"/>
    </row>
    <row r="45" spans="1:12" x14ac:dyDescent="0.4">
      <c r="A45" s="48" t="s">
        <v>175</v>
      </c>
      <c r="B45" s="45">
        <v>225</v>
      </c>
      <c r="C45" s="46" t="s">
        <v>533</v>
      </c>
      <c r="D45" s="47" t="s">
        <v>2</v>
      </c>
    </row>
    <row r="46" spans="1:12" x14ac:dyDescent="0.4">
      <c r="A46" s="140" t="s">
        <v>360</v>
      </c>
      <c r="B46" s="141"/>
      <c r="C46" s="141"/>
      <c r="D46" s="142"/>
    </row>
    <row r="47" spans="1:12" x14ac:dyDescent="0.4">
      <c r="A47" s="48" t="s">
        <v>361</v>
      </c>
      <c r="B47" s="45">
        <v>1906</v>
      </c>
      <c r="C47" s="11" t="s">
        <v>6</v>
      </c>
      <c r="D47" s="47" t="s">
        <v>2</v>
      </c>
    </row>
    <row r="48" spans="1:12" x14ac:dyDescent="0.4">
      <c r="A48" s="48" t="s">
        <v>362</v>
      </c>
      <c r="B48" s="45">
        <v>1931</v>
      </c>
      <c r="C48" s="11" t="s">
        <v>6</v>
      </c>
      <c r="D48" s="47" t="s">
        <v>2</v>
      </c>
    </row>
    <row r="49" spans="1:8" x14ac:dyDescent="0.4">
      <c r="A49" s="50"/>
      <c r="B49" s="51"/>
      <c r="C49" s="11"/>
      <c r="D49" s="49"/>
    </row>
    <row r="50" spans="1:8" ht="27" thickBot="1" x14ac:dyDescent="0.45">
      <c r="A50" s="13" t="s">
        <v>208</v>
      </c>
      <c r="B50" s="14">
        <f>SUM(B5:B48)</f>
        <v>9587</v>
      </c>
      <c r="C50" s="14"/>
      <c r="D50" s="15"/>
    </row>
    <row r="58" spans="1:8" x14ac:dyDescent="0.4">
      <c r="E58" s="6"/>
      <c r="F58" s="6"/>
      <c r="G58" s="6"/>
      <c r="H58" s="6"/>
    </row>
    <row r="76" spans="1:12" x14ac:dyDescent="0.4">
      <c r="I76" s="6"/>
      <c r="J76" s="6"/>
      <c r="K76" s="6"/>
      <c r="L76" s="6"/>
    </row>
    <row r="78" spans="1:12" x14ac:dyDescent="0.4">
      <c r="I78" s="1" t="s">
        <v>171</v>
      </c>
      <c r="J78" s="1">
        <f>SUM(J5:J59)</f>
        <v>37540</v>
      </c>
    </row>
    <row r="80" spans="1:12" x14ac:dyDescent="0.4">
      <c r="A80" s="6"/>
      <c r="B80" s="6"/>
      <c r="C80" s="6"/>
      <c r="D80" s="6"/>
    </row>
    <row r="82" spans="1:4" x14ac:dyDescent="0.4">
      <c r="A82" s="1" t="s">
        <v>99</v>
      </c>
      <c r="B82" s="1">
        <f>SUM(B5:B80)</f>
        <v>19174</v>
      </c>
    </row>
    <row r="84" spans="1:4" x14ac:dyDescent="0.4">
      <c r="A84" s="1" t="s">
        <v>204</v>
      </c>
      <c r="B84" s="1">
        <f>B82+F60+J78</f>
        <v>56714</v>
      </c>
      <c r="C84" s="3"/>
      <c r="D84" s="3"/>
    </row>
    <row r="85" spans="1:4" x14ac:dyDescent="0.4">
      <c r="A85" s="1" t="s">
        <v>205</v>
      </c>
      <c r="B85" s="1">
        <f>'Dragon Kingdom'!F36+B84</f>
        <v>78661</v>
      </c>
    </row>
    <row r="88" spans="1:4" x14ac:dyDescent="0.4">
      <c r="A88" s="151"/>
      <c r="B88" s="151"/>
      <c r="C88" s="151"/>
      <c r="D88" s="151"/>
    </row>
    <row r="91" spans="1:4" x14ac:dyDescent="0.4">
      <c r="A91" s="151"/>
      <c r="B91" s="151"/>
      <c r="C91" s="151"/>
      <c r="D91" s="151"/>
    </row>
    <row r="94" spans="1:4" x14ac:dyDescent="0.4">
      <c r="A94" s="151"/>
      <c r="B94" s="151"/>
      <c r="C94" s="151"/>
      <c r="D94" s="151"/>
    </row>
  </sheetData>
  <dataConsolidate/>
  <mergeCells count="25">
    <mergeCell ref="E10:H10"/>
    <mergeCell ref="A88:D88"/>
    <mergeCell ref="A91:D91"/>
    <mergeCell ref="A94:D94"/>
    <mergeCell ref="A7:D7"/>
    <mergeCell ref="A11:D11"/>
    <mergeCell ref="A46:D46"/>
    <mergeCell ref="A31:D31"/>
    <mergeCell ref="A34:D34"/>
    <mergeCell ref="A37:D37"/>
    <mergeCell ref="A41:D41"/>
    <mergeCell ref="A44:D44"/>
    <mergeCell ref="I12:L12"/>
    <mergeCell ref="A26:D26"/>
    <mergeCell ref="I33:L33"/>
    <mergeCell ref="I31:L31"/>
    <mergeCell ref="A19:D19"/>
    <mergeCell ref="I19:L19"/>
    <mergeCell ref="A1:L1"/>
    <mergeCell ref="A2:D2"/>
    <mergeCell ref="E2:H2"/>
    <mergeCell ref="I2:L2"/>
    <mergeCell ref="A4:D4"/>
    <mergeCell ref="E4:H4"/>
    <mergeCell ref="I4:L4"/>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9DCD4-90F4-4BF0-84D0-8058BDEFF8B1}">
  <dimension ref="A1:T75"/>
  <sheetViews>
    <sheetView topLeftCell="J1" zoomScale="70" zoomScaleNormal="70" workbookViewId="0">
      <selection activeCell="M9" sqref="M9"/>
    </sheetView>
  </sheetViews>
  <sheetFormatPr defaultRowHeight="26.25" x14ac:dyDescent="0.4"/>
  <cols>
    <col min="1" max="1" width="118.28515625" style="1" bestFit="1" customWidth="1"/>
    <col min="2" max="2" width="17.85546875" style="1" bestFit="1" customWidth="1"/>
    <col min="3" max="3" width="36" style="1" bestFit="1" customWidth="1"/>
    <col min="4" max="4" width="57.42578125" style="1" bestFit="1" customWidth="1"/>
    <col min="5" max="5" width="92.7109375" style="1" bestFit="1" customWidth="1"/>
    <col min="6" max="6" width="14.42578125" style="1" customWidth="1"/>
    <col min="7" max="7" width="44.28515625" style="1" bestFit="1" customWidth="1"/>
    <col min="8" max="8" width="58.7109375" style="1" bestFit="1" customWidth="1"/>
    <col min="9" max="9" width="84.42578125" style="1" bestFit="1" customWidth="1"/>
    <col min="10" max="10" width="14.42578125" style="1" bestFit="1" customWidth="1"/>
    <col min="11" max="11" width="50.7109375" style="1" bestFit="1" customWidth="1"/>
    <col min="12" max="12" width="49.140625" style="1" bestFit="1" customWidth="1"/>
    <col min="13" max="13" width="100.7109375" style="1" bestFit="1" customWidth="1"/>
    <col min="14" max="14" width="14.42578125" style="1" bestFit="1" customWidth="1"/>
    <col min="15" max="15" width="46.85546875" style="1" bestFit="1" customWidth="1"/>
    <col min="16" max="16" width="40.7109375" style="1" bestFit="1" customWidth="1"/>
    <col min="17" max="17" width="85.85546875" style="1" customWidth="1"/>
    <col min="18" max="18" width="14.42578125" style="1" bestFit="1" customWidth="1"/>
    <col min="19" max="19" width="21" style="1" bestFit="1" customWidth="1"/>
    <col min="20" max="20" width="25.5703125" style="1" bestFit="1" customWidth="1"/>
    <col min="21" max="16384" width="9.140625" style="1"/>
  </cols>
  <sheetData>
    <row r="1" spans="1:20" ht="27" thickBot="1" x14ac:dyDescent="0.45">
      <c r="A1" s="119" t="str">
        <f>"Volcanic Isle (total " &amp; F30 &amp; ")"</f>
        <v>Volcanic Isle (total 48366)</v>
      </c>
      <c r="B1" s="120"/>
      <c r="C1" s="120"/>
      <c r="D1" s="120"/>
      <c r="E1" s="120"/>
      <c r="F1" s="120"/>
      <c r="G1" s="120"/>
      <c r="H1" s="120"/>
      <c r="I1" s="120"/>
      <c r="J1" s="120"/>
      <c r="K1" s="120"/>
      <c r="L1" s="120"/>
      <c r="M1" s="120"/>
      <c r="N1" s="120"/>
      <c r="O1" s="120"/>
      <c r="P1" s="120"/>
      <c r="Q1" s="120"/>
      <c r="R1" s="120"/>
      <c r="S1" s="120"/>
      <c r="T1" s="121"/>
    </row>
    <row r="2" spans="1:20" ht="27" thickBot="1" x14ac:dyDescent="0.45">
      <c r="A2" s="122" t="s">
        <v>277</v>
      </c>
      <c r="B2" s="123"/>
      <c r="C2" s="123"/>
      <c r="D2" s="124"/>
      <c r="E2" s="125" t="s">
        <v>291</v>
      </c>
      <c r="F2" s="126"/>
      <c r="G2" s="126"/>
      <c r="H2" s="127"/>
      <c r="I2" s="128" t="s">
        <v>323</v>
      </c>
      <c r="J2" s="129"/>
      <c r="K2" s="129"/>
      <c r="L2" s="130"/>
      <c r="M2" s="157" t="s">
        <v>327</v>
      </c>
      <c r="N2" s="158"/>
      <c r="O2" s="158"/>
      <c r="P2" s="159"/>
      <c r="Q2" s="122" t="s">
        <v>350</v>
      </c>
      <c r="R2" s="123"/>
      <c r="S2" s="123"/>
      <c r="T2" s="124"/>
    </row>
    <row r="3" spans="1:20" ht="27" thickBot="1" x14ac:dyDescent="0.45">
      <c r="A3" s="7" t="s">
        <v>0</v>
      </c>
      <c r="B3" s="8" t="s">
        <v>1</v>
      </c>
      <c r="C3" s="8" t="s">
        <v>19</v>
      </c>
      <c r="D3" s="9" t="s">
        <v>20</v>
      </c>
      <c r="E3" s="44" t="s">
        <v>0</v>
      </c>
      <c r="F3" s="28" t="s">
        <v>1</v>
      </c>
      <c r="G3" s="28" t="s">
        <v>19</v>
      </c>
      <c r="H3" s="29" t="s">
        <v>20</v>
      </c>
      <c r="I3" s="33" t="s">
        <v>0</v>
      </c>
      <c r="J3" s="34" t="s">
        <v>1</v>
      </c>
      <c r="K3" s="34" t="s">
        <v>19</v>
      </c>
      <c r="L3" s="35" t="s">
        <v>20</v>
      </c>
      <c r="M3" s="62" t="s">
        <v>0</v>
      </c>
      <c r="N3" s="63" t="s">
        <v>1</v>
      </c>
      <c r="O3" s="63" t="s">
        <v>19</v>
      </c>
      <c r="P3" s="64" t="s">
        <v>20</v>
      </c>
      <c r="Q3" s="7" t="s">
        <v>0</v>
      </c>
      <c r="R3" s="8" t="s">
        <v>1</v>
      </c>
      <c r="S3" s="8" t="s">
        <v>19</v>
      </c>
      <c r="T3" s="9" t="s">
        <v>20</v>
      </c>
    </row>
    <row r="4" spans="1:20" x14ac:dyDescent="0.4">
      <c r="A4" s="131" t="s">
        <v>278</v>
      </c>
      <c r="B4" s="132"/>
      <c r="C4" s="132"/>
      <c r="D4" s="133"/>
      <c r="E4" s="146" t="s">
        <v>23</v>
      </c>
      <c r="F4" s="147"/>
      <c r="G4" s="147"/>
      <c r="H4" s="147"/>
      <c r="I4" s="148" t="s">
        <v>320</v>
      </c>
      <c r="J4" s="149"/>
      <c r="K4" s="149"/>
      <c r="L4" s="149"/>
      <c r="M4" s="160" t="s">
        <v>329</v>
      </c>
      <c r="N4" s="161"/>
      <c r="O4" s="161"/>
      <c r="P4" s="162"/>
      <c r="Q4" s="131" t="s">
        <v>349</v>
      </c>
      <c r="R4" s="132"/>
      <c r="S4" s="132"/>
      <c r="T4" s="133"/>
    </row>
    <row r="5" spans="1:20" x14ac:dyDescent="0.4">
      <c r="A5" s="48" t="s">
        <v>100</v>
      </c>
      <c r="B5" s="45">
        <v>263</v>
      </c>
      <c r="C5" s="46" t="s">
        <v>2</v>
      </c>
      <c r="D5" s="47" t="s">
        <v>2</v>
      </c>
      <c r="E5" s="30" t="s">
        <v>175</v>
      </c>
      <c r="F5" s="31">
        <v>572</v>
      </c>
      <c r="G5" s="32" t="s">
        <v>2</v>
      </c>
      <c r="H5" s="32" t="s">
        <v>2</v>
      </c>
      <c r="I5" s="55" t="s">
        <v>175</v>
      </c>
      <c r="J5" s="58">
        <f>695+75</f>
        <v>770</v>
      </c>
      <c r="K5" s="59" t="s">
        <v>2</v>
      </c>
      <c r="L5" s="59" t="s">
        <v>2</v>
      </c>
      <c r="M5" s="65" t="s">
        <v>265</v>
      </c>
      <c r="N5" s="66">
        <f>690+70</f>
        <v>760</v>
      </c>
      <c r="O5" s="67" t="s">
        <v>2</v>
      </c>
      <c r="P5" s="68" t="s">
        <v>2</v>
      </c>
      <c r="Q5" s="48" t="s">
        <v>265</v>
      </c>
      <c r="R5" s="45">
        <v>558</v>
      </c>
      <c r="S5" s="46" t="s">
        <v>2</v>
      </c>
      <c r="T5" s="47" t="s">
        <v>2</v>
      </c>
    </row>
    <row r="6" spans="1:20" x14ac:dyDescent="0.4">
      <c r="A6" s="48" t="s">
        <v>25</v>
      </c>
      <c r="B6" s="45">
        <v>350</v>
      </c>
      <c r="C6" s="46" t="s">
        <v>2</v>
      </c>
      <c r="D6" s="47" t="s">
        <v>26</v>
      </c>
      <c r="E6" s="30" t="s">
        <v>293</v>
      </c>
      <c r="F6" s="31">
        <v>50</v>
      </c>
      <c r="G6" s="32" t="s">
        <v>2</v>
      </c>
      <c r="H6" s="32" t="s">
        <v>242</v>
      </c>
      <c r="I6" s="55" t="s">
        <v>316</v>
      </c>
      <c r="J6" s="58">
        <v>50</v>
      </c>
      <c r="K6" s="59" t="s">
        <v>32</v>
      </c>
      <c r="L6" s="59" t="s">
        <v>2</v>
      </c>
      <c r="M6" s="65" t="s">
        <v>330</v>
      </c>
      <c r="N6" s="66">
        <v>75</v>
      </c>
      <c r="O6" s="67" t="s">
        <v>2</v>
      </c>
      <c r="P6" s="68" t="s">
        <v>12</v>
      </c>
      <c r="Q6" s="140" t="s">
        <v>352</v>
      </c>
      <c r="R6" s="141"/>
      <c r="S6" s="141"/>
      <c r="T6" s="142"/>
    </row>
    <row r="7" spans="1:20" x14ac:dyDescent="0.4">
      <c r="A7" s="48" t="s">
        <v>27</v>
      </c>
      <c r="B7" s="45">
        <v>300</v>
      </c>
      <c r="C7" s="46" t="s">
        <v>2</v>
      </c>
      <c r="D7" s="47" t="s">
        <v>28</v>
      </c>
      <c r="E7" s="30" t="s">
        <v>294</v>
      </c>
      <c r="F7" s="31">
        <v>500</v>
      </c>
      <c r="G7" s="32" t="s">
        <v>2</v>
      </c>
      <c r="H7" s="32" t="s">
        <v>18</v>
      </c>
      <c r="I7" s="55" t="s">
        <v>269</v>
      </c>
      <c r="J7" s="58">
        <v>20</v>
      </c>
      <c r="K7" s="59" t="s">
        <v>2</v>
      </c>
      <c r="L7" s="59" t="s">
        <v>12</v>
      </c>
      <c r="M7" s="65" t="s">
        <v>337</v>
      </c>
      <c r="N7" s="66">
        <v>40</v>
      </c>
      <c r="O7" s="67" t="s">
        <v>2</v>
      </c>
      <c r="P7" s="68" t="s">
        <v>331</v>
      </c>
      <c r="Q7" s="48" t="s">
        <v>265</v>
      </c>
      <c r="R7" s="45">
        <v>517</v>
      </c>
      <c r="S7" s="46" t="s">
        <v>2</v>
      </c>
      <c r="T7" s="47" t="s">
        <v>2</v>
      </c>
    </row>
    <row r="8" spans="1:20" x14ac:dyDescent="0.4">
      <c r="A8" s="48" t="s">
        <v>281</v>
      </c>
      <c r="B8" s="45">
        <v>30</v>
      </c>
      <c r="C8" s="46" t="s">
        <v>2</v>
      </c>
      <c r="D8" s="47" t="s">
        <v>6</v>
      </c>
      <c r="E8" s="30" t="s">
        <v>295</v>
      </c>
      <c r="F8" s="31">
        <v>1500</v>
      </c>
      <c r="G8" s="32" t="s">
        <v>2</v>
      </c>
      <c r="H8" s="32" t="s">
        <v>69</v>
      </c>
      <c r="I8" s="55" t="s">
        <v>312</v>
      </c>
      <c r="J8" s="58">
        <v>25</v>
      </c>
      <c r="K8" s="59" t="s">
        <v>2</v>
      </c>
      <c r="L8" s="59" t="s">
        <v>18</v>
      </c>
      <c r="M8" s="65" t="s">
        <v>332</v>
      </c>
      <c r="N8" s="66">
        <v>100</v>
      </c>
      <c r="O8" s="67" t="s">
        <v>32</v>
      </c>
      <c r="P8" s="68" t="s">
        <v>2</v>
      </c>
      <c r="Q8" s="140" t="s">
        <v>353</v>
      </c>
      <c r="R8" s="141"/>
      <c r="S8" s="141"/>
      <c r="T8" s="142"/>
    </row>
    <row r="9" spans="1:20" x14ac:dyDescent="0.4">
      <c r="A9" s="48" t="s">
        <v>29</v>
      </c>
      <c r="B9" s="45">
        <v>350</v>
      </c>
      <c r="C9" s="46" t="s">
        <v>2</v>
      </c>
      <c r="D9" s="47" t="s">
        <v>30</v>
      </c>
      <c r="E9" s="134" t="s">
        <v>298</v>
      </c>
      <c r="F9" s="135"/>
      <c r="G9" s="135"/>
      <c r="H9" s="135"/>
      <c r="I9" s="55" t="s">
        <v>313</v>
      </c>
      <c r="J9" s="58">
        <v>25</v>
      </c>
      <c r="K9" s="59" t="s">
        <v>32</v>
      </c>
      <c r="L9" s="59" t="s">
        <v>18</v>
      </c>
      <c r="M9" s="65" t="s">
        <v>338</v>
      </c>
      <c r="N9" s="66">
        <v>50</v>
      </c>
      <c r="O9" s="67" t="s">
        <v>2</v>
      </c>
      <c r="P9" s="68" t="s">
        <v>242</v>
      </c>
      <c r="Q9" s="48" t="s">
        <v>265</v>
      </c>
      <c r="R9" s="45">
        <v>538</v>
      </c>
      <c r="S9" s="46" t="s">
        <v>2</v>
      </c>
      <c r="T9" s="47" t="s">
        <v>2</v>
      </c>
    </row>
    <row r="10" spans="1:20" x14ac:dyDescent="0.4">
      <c r="A10" s="48" t="s">
        <v>241</v>
      </c>
      <c r="B10" s="45">
        <v>375</v>
      </c>
      <c r="C10" s="46" t="s">
        <v>2</v>
      </c>
      <c r="D10" s="47" t="s">
        <v>242</v>
      </c>
      <c r="E10" s="16" t="s">
        <v>299</v>
      </c>
      <c r="F10" s="31">
        <v>50</v>
      </c>
      <c r="G10" s="32" t="s">
        <v>2</v>
      </c>
      <c r="H10" s="32" t="s">
        <v>296</v>
      </c>
      <c r="I10" s="55" t="s">
        <v>314</v>
      </c>
      <c r="J10" s="58">
        <v>100</v>
      </c>
      <c r="K10" s="59" t="s">
        <v>2</v>
      </c>
      <c r="L10" s="59" t="s">
        <v>32</v>
      </c>
      <c r="M10" s="65" t="s">
        <v>339</v>
      </c>
      <c r="N10" s="66">
        <v>100</v>
      </c>
      <c r="O10" s="67" t="s">
        <v>2</v>
      </c>
      <c r="P10" s="68"/>
      <c r="Q10" s="48" t="s">
        <v>354</v>
      </c>
      <c r="R10" s="45">
        <v>70</v>
      </c>
      <c r="S10" s="46" t="s">
        <v>18</v>
      </c>
      <c r="T10" s="47" t="s">
        <v>2</v>
      </c>
    </row>
    <row r="11" spans="1:20" x14ac:dyDescent="0.4">
      <c r="A11" s="48" t="s">
        <v>280</v>
      </c>
      <c r="B11" s="45">
        <v>1000</v>
      </c>
      <c r="C11" s="46" t="s">
        <v>2</v>
      </c>
      <c r="D11" s="47" t="s">
        <v>18</v>
      </c>
      <c r="E11" s="16" t="s">
        <v>300</v>
      </c>
      <c r="F11" s="31">
        <v>131</v>
      </c>
      <c r="G11" s="32" t="s">
        <v>2</v>
      </c>
      <c r="H11" s="32" t="s">
        <v>2</v>
      </c>
      <c r="I11" s="55" t="s">
        <v>315</v>
      </c>
      <c r="J11" s="58">
        <v>500</v>
      </c>
      <c r="K11" s="59" t="s">
        <v>2</v>
      </c>
      <c r="L11" s="59" t="s">
        <v>18</v>
      </c>
      <c r="M11" s="65" t="s">
        <v>241</v>
      </c>
      <c r="N11" s="66"/>
      <c r="O11" s="67" t="s">
        <v>2</v>
      </c>
      <c r="P11" s="68"/>
      <c r="Q11" s="140" t="s">
        <v>355</v>
      </c>
      <c r="R11" s="141"/>
      <c r="S11" s="141"/>
      <c r="T11" s="142"/>
    </row>
    <row r="12" spans="1:20" x14ac:dyDescent="0.4">
      <c r="A12" s="48" t="s">
        <v>215</v>
      </c>
      <c r="B12" s="45">
        <v>140</v>
      </c>
      <c r="C12" s="46" t="s">
        <v>2</v>
      </c>
      <c r="D12" s="47" t="s">
        <v>12</v>
      </c>
      <c r="E12" s="16" t="s">
        <v>297</v>
      </c>
      <c r="F12" s="31">
        <v>25</v>
      </c>
      <c r="G12" s="32" t="s">
        <v>2</v>
      </c>
      <c r="H12" s="32" t="s">
        <v>18</v>
      </c>
      <c r="I12" s="55" t="s">
        <v>317</v>
      </c>
      <c r="J12" s="58">
        <v>50</v>
      </c>
      <c r="K12" s="59" t="s">
        <v>32</v>
      </c>
      <c r="L12" s="59" t="s">
        <v>2</v>
      </c>
      <c r="M12" s="163" t="s">
        <v>333</v>
      </c>
      <c r="N12" s="164"/>
      <c r="O12" s="164"/>
      <c r="P12" s="165"/>
      <c r="Q12" s="48" t="s">
        <v>265</v>
      </c>
      <c r="R12" s="45">
        <v>1270</v>
      </c>
      <c r="S12" s="46" t="s">
        <v>2</v>
      </c>
      <c r="T12" s="47" t="s">
        <v>2</v>
      </c>
    </row>
    <row r="13" spans="1:20" x14ac:dyDescent="0.4">
      <c r="A13" s="48" t="s">
        <v>243</v>
      </c>
      <c r="B13" s="45">
        <v>80</v>
      </c>
      <c r="C13" s="46" t="s">
        <v>2</v>
      </c>
      <c r="D13" s="47" t="s">
        <v>151</v>
      </c>
      <c r="E13" s="134" t="s">
        <v>305</v>
      </c>
      <c r="F13" s="135"/>
      <c r="G13" s="135"/>
      <c r="H13" s="135"/>
      <c r="I13" s="55" t="s">
        <v>318</v>
      </c>
      <c r="J13" s="58">
        <v>20</v>
      </c>
      <c r="K13" s="59" t="s">
        <v>32</v>
      </c>
      <c r="L13" s="59" t="s">
        <v>16</v>
      </c>
      <c r="M13" s="65" t="s">
        <v>334</v>
      </c>
      <c r="N13" s="66">
        <v>470</v>
      </c>
      <c r="O13" s="67" t="s">
        <v>82</v>
      </c>
      <c r="P13" s="68" t="s">
        <v>242</v>
      </c>
      <c r="Q13" s="140" t="s">
        <v>356</v>
      </c>
      <c r="R13" s="141"/>
      <c r="S13" s="141"/>
      <c r="T13" s="142"/>
    </row>
    <row r="14" spans="1:20" x14ac:dyDescent="0.4">
      <c r="A14" s="48" t="s">
        <v>85</v>
      </c>
      <c r="B14" s="45">
        <v>60</v>
      </c>
      <c r="C14" s="46" t="s">
        <v>2</v>
      </c>
      <c r="D14" s="47" t="s">
        <v>16</v>
      </c>
      <c r="E14" s="16" t="s">
        <v>265</v>
      </c>
      <c r="F14" s="31">
        <v>1498</v>
      </c>
      <c r="G14" s="32" t="s">
        <v>296</v>
      </c>
      <c r="H14" s="32" t="s">
        <v>2</v>
      </c>
      <c r="I14" s="55" t="s">
        <v>319</v>
      </c>
      <c r="J14" s="58">
        <v>40</v>
      </c>
      <c r="K14" s="59" t="s">
        <v>2</v>
      </c>
      <c r="L14" s="59" t="s">
        <v>16</v>
      </c>
      <c r="M14" s="65" t="s">
        <v>330</v>
      </c>
      <c r="N14" s="66">
        <v>125</v>
      </c>
      <c r="O14" s="67"/>
      <c r="P14" s="68" t="s">
        <v>12</v>
      </c>
      <c r="Q14" s="48" t="s">
        <v>265</v>
      </c>
      <c r="R14" s="45">
        <f>109265-108705</f>
        <v>560</v>
      </c>
      <c r="S14" s="46" t="s">
        <v>2</v>
      </c>
      <c r="T14" s="47" t="s">
        <v>2</v>
      </c>
    </row>
    <row r="15" spans="1:20" x14ac:dyDescent="0.4">
      <c r="A15" s="48" t="s">
        <v>284</v>
      </c>
      <c r="B15" s="45">
        <v>100</v>
      </c>
      <c r="C15" s="46" t="s">
        <v>89</v>
      </c>
      <c r="D15" s="47" t="s">
        <v>32</v>
      </c>
      <c r="E15" s="16" t="s">
        <v>301</v>
      </c>
      <c r="F15" s="31">
        <v>400</v>
      </c>
      <c r="G15" s="32" t="s">
        <v>296</v>
      </c>
      <c r="H15" s="32" t="s">
        <v>32</v>
      </c>
      <c r="I15" s="137" t="s">
        <v>164</v>
      </c>
      <c r="J15" s="138"/>
      <c r="K15" s="138"/>
      <c r="L15" s="138"/>
      <c r="M15" s="65" t="s">
        <v>241</v>
      </c>
      <c r="N15" s="66">
        <v>50</v>
      </c>
      <c r="O15" s="67"/>
      <c r="P15" s="68"/>
      <c r="Q15" s="48" t="s">
        <v>357</v>
      </c>
      <c r="R15" s="11">
        <v>155</v>
      </c>
      <c r="S15" s="46" t="s">
        <v>358</v>
      </c>
      <c r="T15" s="47" t="s">
        <v>2</v>
      </c>
    </row>
    <row r="16" spans="1:20" x14ac:dyDescent="0.4">
      <c r="A16" s="140" t="s">
        <v>282</v>
      </c>
      <c r="B16" s="141"/>
      <c r="C16" s="141"/>
      <c r="D16" s="142"/>
      <c r="E16" s="16" t="s">
        <v>302</v>
      </c>
      <c r="F16" s="31">
        <v>40</v>
      </c>
      <c r="G16" s="32" t="s">
        <v>296</v>
      </c>
      <c r="H16" s="32" t="s">
        <v>16</v>
      </c>
      <c r="I16" s="55" t="s">
        <v>265</v>
      </c>
      <c r="J16" s="58">
        <v>447</v>
      </c>
      <c r="K16" s="59" t="s">
        <v>164</v>
      </c>
      <c r="L16" s="59" t="s">
        <v>2</v>
      </c>
      <c r="M16" s="65" t="s">
        <v>335</v>
      </c>
      <c r="N16" s="66">
        <v>350</v>
      </c>
      <c r="O16" s="67" t="s">
        <v>336</v>
      </c>
      <c r="P16" s="68" t="s">
        <v>32</v>
      </c>
      <c r="Q16" s="140" t="s">
        <v>359</v>
      </c>
      <c r="R16" s="141"/>
      <c r="S16" s="141"/>
      <c r="T16" s="142"/>
    </row>
    <row r="17" spans="1:20" x14ac:dyDescent="0.4">
      <c r="A17" s="10" t="s">
        <v>175</v>
      </c>
      <c r="B17" s="45">
        <f>1334+80</f>
        <v>1414</v>
      </c>
      <c r="C17" s="46" t="s">
        <v>6</v>
      </c>
      <c r="D17" s="47" t="s">
        <v>2</v>
      </c>
      <c r="E17" s="16" t="s">
        <v>303</v>
      </c>
      <c r="F17" s="31">
        <v>20</v>
      </c>
      <c r="G17" s="32" t="s">
        <v>296</v>
      </c>
      <c r="H17" s="32" t="s">
        <v>14</v>
      </c>
      <c r="I17" s="137" t="s">
        <v>322</v>
      </c>
      <c r="J17" s="138"/>
      <c r="K17" s="138"/>
      <c r="L17" s="138"/>
      <c r="M17" s="163" t="s">
        <v>340</v>
      </c>
      <c r="N17" s="164"/>
      <c r="O17" s="164"/>
      <c r="P17" s="165"/>
      <c r="Q17" s="48" t="s">
        <v>265</v>
      </c>
      <c r="R17" s="45">
        <v>140</v>
      </c>
      <c r="S17" s="46"/>
      <c r="T17" s="47"/>
    </row>
    <row r="18" spans="1:20" x14ac:dyDescent="0.4">
      <c r="A18" s="10" t="s">
        <v>283</v>
      </c>
      <c r="B18" s="45">
        <v>1500</v>
      </c>
      <c r="C18" s="46" t="s">
        <v>6</v>
      </c>
      <c r="D18" s="47" t="s">
        <v>18</v>
      </c>
      <c r="E18" s="16" t="s">
        <v>304</v>
      </c>
      <c r="F18" s="31">
        <v>20</v>
      </c>
      <c r="G18" s="32" t="s">
        <v>296</v>
      </c>
      <c r="H18" s="32" t="s">
        <v>12</v>
      </c>
      <c r="I18" s="55" t="s">
        <v>265</v>
      </c>
      <c r="J18" s="58">
        <v>1101</v>
      </c>
      <c r="K18" s="59" t="s">
        <v>164</v>
      </c>
      <c r="L18" s="59" t="s">
        <v>2</v>
      </c>
      <c r="M18" s="65" t="s">
        <v>341</v>
      </c>
      <c r="N18" s="66">
        <v>1500</v>
      </c>
      <c r="O18" s="67" t="s">
        <v>32</v>
      </c>
      <c r="P18" s="68" t="s">
        <v>18</v>
      </c>
      <c r="Q18" s="10"/>
      <c r="R18" s="11"/>
      <c r="S18" s="11"/>
      <c r="T18" s="12"/>
    </row>
    <row r="19" spans="1:20" ht="27" thickBot="1" x14ac:dyDescent="0.45">
      <c r="A19" s="10" t="s">
        <v>85</v>
      </c>
      <c r="B19" s="45">
        <v>20</v>
      </c>
      <c r="C19" s="46" t="s">
        <v>6</v>
      </c>
      <c r="D19" s="47" t="s">
        <v>16</v>
      </c>
      <c r="E19" s="134" t="s">
        <v>306</v>
      </c>
      <c r="F19" s="135"/>
      <c r="G19" s="135"/>
      <c r="H19" s="135"/>
      <c r="I19" s="55" t="s">
        <v>288</v>
      </c>
      <c r="J19" s="58">
        <v>60</v>
      </c>
      <c r="K19" s="59" t="s">
        <v>164</v>
      </c>
      <c r="L19" s="59" t="s">
        <v>151</v>
      </c>
      <c r="M19" s="65" t="s">
        <v>175</v>
      </c>
      <c r="N19" s="66">
        <v>550</v>
      </c>
      <c r="O19" s="67" t="s">
        <v>32</v>
      </c>
      <c r="P19" s="68" t="s">
        <v>2</v>
      </c>
      <c r="Q19" s="13" t="s">
        <v>351</v>
      </c>
      <c r="R19" s="61">
        <f>SUM(R5:R17)</f>
        <v>3808</v>
      </c>
      <c r="S19" s="14"/>
      <c r="T19" s="15"/>
    </row>
    <row r="20" spans="1:20" x14ac:dyDescent="0.4">
      <c r="A20" s="10" t="s">
        <v>285</v>
      </c>
      <c r="B20" s="45">
        <v>20</v>
      </c>
      <c r="C20" s="46" t="s">
        <v>6</v>
      </c>
      <c r="D20" s="47" t="s">
        <v>12</v>
      </c>
      <c r="E20" s="30" t="s">
        <v>307</v>
      </c>
      <c r="F20" s="31">
        <v>25</v>
      </c>
      <c r="G20" s="32" t="s">
        <v>308</v>
      </c>
      <c r="H20" s="32" t="s">
        <v>14</v>
      </c>
      <c r="I20" s="55" t="s">
        <v>288</v>
      </c>
      <c r="J20" s="58">
        <v>60</v>
      </c>
      <c r="K20" s="59" t="s">
        <v>164</v>
      </c>
      <c r="L20" s="59" t="s">
        <v>151</v>
      </c>
      <c r="M20" s="65" t="s">
        <v>334</v>
      </c>
      <c r="N20" s="66">
        <v>20</v>
      </c>
      <c r="O20" s="67" t="s">
        <v>32</v>
      </c>
      <c r="P20" s="68" t="s">
        <v>242</v>
      </c>
    </row>
    <row r="21" spans="1:20" x14ac:dyDescent="0.4">
      <c r="A21" s="10" t="s">
        <v>288</v>
      </c>
      <c r="B21" s="45">
        <v>20</v>
      </c>
      <c r="C21" s="46" t="s">
        <v>6</v>
      </c>
      <c r="D21" s="47" t="s">
        <v>151</v>
      </c>
      <c r="E21" s="30" t="s">
        <v>265</v>
      </c>
      <c r="F21" s="31">
        <v>5131</v>
      </c>
      <c r="G21" s="32" t="s">
        <v>308</v>
      </c>
      <c r="H21" s="32" t="s">
        <v>2</v>
      </c>
      <c r="I21" s="55" t="s">
        <v>270</v>
      </c>
      <c r="J21" s="58">
        <v>40</v>
      </c>
      <c r="K21" s="59" t="s">
        <v>164</v>
      </c>
      <c r="L21" s="59" t="s">
        <v>16</v>
      </c>
      <c r="M21" s="65" t="s">
        <v>342</v>
      </c>
      <c r="N21" s="66">
        <v>70</v>
      </c>
      <c r="O21" s="67" t="s">
        <v>343</v>
      </c>
      <c r="P21" s="68" t="s">
        <v>2</v>
      </c>
    </row>
    <row r="22" spans="1:20" x14ac:dyDescent="0.4">
      <c r="A22" s="10" t="s">
        <v>286</v>
      </c>
      <c r="B22" s="45">
        <v>20</v>
      </c>
      <c r="C22" s="46" t="s">
        <v>6</v>
      </c>
      <c r="D22" s="47" t="s">
        <v>12</v>
      </c>
      <c r="E22" s="30" t="s">
        <v>269</v>
      </c>
      <c r="F22" s="31">
        <v>260</v>
      </c>
      <c r="G22" s="32" t="s">
        <v>308</v>
      </c>
      <c r="H22" s="32" t="s">
        <v>12</v>
      </c>
      <c r="I22" s="55" t="s">
        <v>268</v>
      </c>
      <c r="J22" s="58"/>
      <c r="K22" s="59" t="s">
        <v>164</v>
      </c>
      <c r="L22" s="59" t="s">
        <v>14</v>
      </c>
      <c r="M22" s="163" t="s">
        <v>347</v>
      </c>
      <c r="N22" s="164"/>
      <c r="O22" s="164"/>
      <c r="P22" s="165"/>
    </row>
    <row r="23" spans="1:20" x14ac:dyDescent="0.4">
      <c r="A23" s="10" t="s">
        <v>290</v>
      </c>
      <c r="B23" s="45">
        <v>1000</v>
      </c>
      <c r="C23" s="46" t="s">
        <v>6</v>
      </c>
      <c r="D23" s="47" t="s">
        <v>18</v>
      </c>
      <c r="E23" s="30" t="s">
        <v>288</v>
      </c>
      <c r="F23" s="31">
        <v>40</v>
      </c>
      <c r="G23" s="32" t="s">
        <v>308</v>
      </c>
      <c r="H23" s="32" t="s">
        <v>151</v>
      </c>
      <c r="I23" s="55" t="s">
        <v>324</v>
      </c>
      <c r="J23" s="58">
        <v>25</v>
      </c>
      <c r="K23" s="59" t="s">
        <v>325</v>
      </c>
      <c r="L23" s="59" t="s">
        <v>2</v>
      </c>
      <c r="M23" s="65" t="s">
        <v>265</v>
      </c>
      <c r="N23" s="66">
        <f>635+605</f>
        <v>1240</v>
      </c>
      <c r="O23" s="67" t="s">
        <v>344</v>
      </c>
      <c r="P23" s="68"/>
    </row>
    <row r="24" spans="1:20" x14ac:dyDescent="0.4">
      <c r="A24" s="140" t="s">
        <v>287</v>
      </c>
      <c r="B24" s="141"/>
      <c r="C24" s="141"/>
      <c r="D24" s="142"/>
      <c r="E24" s="30" t="s">
        <v>270</v>
      </c>
      <c r="F24" s="31">
        <v>60</v>
      </c>
      <c r="G24" s="32" t="s">
        <v>308</v>
      </c>
      <c r="H24" s="32" t="s">
        <v>16</v>
      </c>
      <c r="I24" s="55" t="s">
        <v>326</v>
      </c>
      <c r="J24" s="58">
        <v>311</v>
      </c>
      <c r="K24" s="59" t="s">
        <v>325</v>
      </c>
      <c r="L24" s="59" t="s">
        <v>2</v>
      </c>
      <c r="M24" s="163" t="s">
        <v>346</v>
      </c>
      <c r="N24" s="164"/>
      <c r="O24" s="164"/>
      <c r="P24" s="165"/>
    </row>
    <row r="25" spans="1:20" x14ac:dyDescent="0.4">
      <c r="A25" s="10" t="s">
        <v>289</v>
      </c>
      <c r="B25" s="45">
        <v>40</v>
      </c>
      <c r="C25" s="46" t="s">
        <v>225</v>
      </c>
      <c r="D25" s="47" t="s">
        <v>12</v>
      </c>
      <c r="E25" s="30" t="s">
        <v>309</v>
      </c>
      <c r="F25" s="31">
        <v>20</v>
      </c>
      <c r="G25" s="32" t="s">
        <v>308</v>
      </c>
      <c r="H25" s="32" t="s">
        <v>2</v>
      </c>
      <c r="I25" s="137" t="s">
        <v>363</v>
      </c>
      <c r="J25" s="138"/>
      <c r="K25" s="138"/>
      <c r="L25" s="138"/>
      <c r="M25" s="65" t="s">
        <v>265</v>
      </c>
      <c r="N25" s="66">
        <f>795+136</f>
        <v>931</v>
      </c>
      <c r="O25" s="67" t="s">
        <v>345</v>
      </c>
      <c r="P25" s="68"/>
    </row>
    <row r="26" spans="1:20" x14ac:dyDescent="0.4">
      <c r="A26" s="10" t="s">
        <v>175</v>
      </c>
      <c r="B26" s="45">
        <v>60</v>
      </c>
      <c r="C26" s="46" t="s">
        <v>225</v>
      </c>
      <c r="D26" s="47" t="s">
        <v>2</v>
      </c>
      <c r="E26" s="30" t="s">
        <v>311</v>
      </c>
      <c r="F26" s="31">
        <f>110+780</f>
        <v>890</v>
      </c>
      <c r="G26" s="32" t="s">
        <v>310</v>
      </c>
      <c r="H26" s="32" t="s">
        <v>2</v>
      </c>
      <c r="I26" s="55" t="s">
        <v>364</v>
      </c>
      <c r="J26" s="58">
        <v>1313</v>
      </c>
      <c r="K26" s="59" t="s">
        <v>164</v>
      </c>
      <c r="L26" s="59" t="s">
        <v>2</v>
      </c>
      <c r="M26" s="65" t="s">
        <v>348</v>
      </c>
      <c r="N26" s="66">
        <v>1500</v>
      </c>
      <c r="O26" s="67" t="s">
        <v>345</v>
      </c>
      <c r="P26" s="68" t="s">
        <v>18</v>
      </c>
    </row>
    <row r="27" spans="1:20" x14ac:dyDescent="0.4">
      <c r="A27" s="10"/>
      <c r="B27" s="11"/>
      <c r="C27" s="11"/>
      <c r="D27" s="12"/>
      <c r="E27" s="16"/>
      <c r="F27" s="17"/>
      <c r="G27" s="17"/>
      <c r="H27" s="17"/>
      <c r="I27" s="55" t="s">
        <v>365</v>
      </c>
      <c r="J27" s="58">
        <v>1076</v>
      </c>
      <c r="K27" s="59" t="s">
        <v>164</v>
      </c>
      <c r="L27" s="59" t="s">
        <v>2</v>
      </c>
      <c r="M27" s="163" t="s">
        <v>360</v>
      </c>
      <c r="N27" s="164"/>
      <c r="O27" s="164"/>
      <c r="P27" s="165"/>
    </row>
    <row r="28" spans="1:20" ht="27" thickBot="1" x14ac:dyDescent="0.45">
      <c r="A28" s="13" t="s">
        <v>279</v>
      </c>
      <c r="B28" s="61">
        <f>SUM(B5:B26)</f>
        <v>7142</v>
      </c>
      <c r="C28" s="14"/>
      <c r="D28" s="15"/>
      <c r="E28" s="19" t="s">
        <v>292</v>
      </c>
      <c r="F28" s="54">
        <f>SUM(F5:F26)</f>
        <v>11232</v>
      </c>
      <c r="G28" s="20"/>
      <c r="H28" s="20"/>
      <c r="I28" s="22"/>
      <c r="J28" s="58"/>
      <c r="K28" s="23"/>
      <c r="L28" s="23"/>
      <c r="M28" s="65" t="s">
        <v>361</v>
      </c>
      <c r="N28" s="66">
        <v>5240</v>
      </c>
      <c r="O28" s="67" t="s">
        <v>2</v>
      </c>
      <c r="P28" s="68" t="s">
        <v>2</v>
      </c>
    </row>
    <row r="29" spans="1:20" ht="27" thickBot="1" x14ac:dyDescent="0.45">
      <c r="I29" s="25" t="s">
        <v>321</v>
      </c>
      <c r="J29" s="57">
        <f>SUM(J5:J27)</f>
        <v>6033</v>
      </c>
      <c r="K29" s="26"/>
      <c r="L29" s="26"/>
      <c r="M29" s="65" t="s">
        <v>362</v>
      </c>
      <c r="N29" s="66">
        <v>6980</v>
      </c>
      <c r="O29" s="67" t="s">
        <v>2</v>
      </c>
      <c r="P29" s="68" t="s">
        <v>2</v>
      </c>
    </row>
    <row r="30" spans="1:20" x14ac:dyDescent="0.4">
      <c r="E30" s="1" t="s">
        <v>368</v>
      </c>
      <c r="F30" s="1">
        <f>B28+F28+J29+N31+R19</f>
        <v>48366</v>
      </c>
      <c r="H30" s="4"/>
      <c r="M30" s="69"/>
      <c r="N30" s="70"/>
      <c r="O30" s="70"/>
      <c r="P30" s="71"/>
    </row>
    <row r="31" spans="1:20" ht="27" thickBot="1" x14ac:dyDescent="0.45">
      <c r="M31" s="72" t="s">
        <v>328</v>
      </c>
      <c r="N31" s="73">
        <f>SUM(N4:N29)</f>
        <v>20151</v>
      </c>
      <c r="O31" s="74"/>
      <c r="P31" s="75"/>
    </row>
    <row r="32" spans="1:20" x14ac:dyDescent="0.4">
      <c r="E32" s="1" t="s">
        <v>205</v>
      </c>
      <c r="F32" s="1">
        <f>'Dragon Kingdom'!F36+'Lost Cities'!F32+'Icy Wilderness'!F16+'Volcanic Isle'!F30</f>
        <v>138548</v>
      </c>
    </row>
    <row r="33" spans="5:7" x14ac:dyDescent="0.4">
      <c r="E33" s="4"/>
      <c r="F33" s="5"/>
      <c r="G33" s="4"/>
    </row>
    <row r="65" spans="1:4" x14ac:dyDescent="0.4">
      <c r="C65" s="3"/>
      <c r="D65" s="3"/>
    </row>
    <row r="69" spans="1:4" x14ac:dyDescent="0.4">
      <c r="A69" s="151"/>
      <c r="B69" s="151"/>
      <c r="C69" s="151"/>
      <c r="D69" s="151"/>
    </row>
    <row r="72" spans="1:4" x14ac:dyDescent="0.4">
      <c r="A72" s="151"/>
      <c r="B72" s="151"/>
      <c r="C72" s="151"/>
      <c r="D72" s="151"/>
    </row>
    <row r="75" spans="1:4" x14ac:dyDescent="0.4">
      <c r="A75" s="151"/>
      <c r="B75" s="151"/>
      <c r="C75" s="151"/>
      <c r="D75" s="151"/>
    </row>
  </sheetData>
  <mergeCells count="32">
    <mergeCell ref="Q16:T16"/>
    <mergeCell ref="I25:L25"/>
    <mergeCell ref="Q4:T4"/>
    <mergeCell ref="Q6:T6"/>
    <mergeCell ref="Q8:T8"/>
    <mergeCell ref="Q11:T11"/>
    <mergeCell ref="Q13:T13"/>
    <mergeCell ref="M17:P17"/>
    <mergeCell ref="M22:P22"/>
    <mergeCell ref="M24:P24"/>
    <mergeCell ref="M27:P27"/>
    <mergeCell ref="A75:D75"/>
    <mergeCell ref="A16:D16"/>
    <mergeCell ref="A24:D24"/>
    <mergeCell ref="E19:H19"/>
    <mergeCell ref="I17:L17"/>
    <mergeCell ref="M2:P2"/>
    <mergeCell ref="A1:T1"/>
    <mergeCell ref="Q2:T2"/>
    <mergeCell ref="A69:D69"/>
    <mergeCell ref="A72:D72"/>
    <mergeCell ref="E9:H9"/>
    <mergeCell ref="E13:H13"/>
    <mergeCell ref="I15:L15"/>
    <mergeCell ref="A2:D2"/>
    <mergeCell ref="E2:H2"/>
    <mergeCell ref="I2:L2"/>
    <mergeCell ref="A4:D4"/>
    <mergeCell ref="E4:H4"/>
    <mergeCell ref="I4:L4"/>
    <mergeCell ref="M4:P4"/>
    <mergeCell ref="M12:P12"/>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New Gems (simplified per-rule)</vt:lpstr>
      <vt:lpstr>New Gems (simplified per region</vt:lpstr>
      <vt:lpstr>Dragon Kingdom CONDENSING</vt:lpstr>
      <vt:lpstr>Lost Cities CONDENSING</vt:lpstr>
      <vt:lpstr>Icy Wilderness CONDENSING</vt:lpstr>
      <vt:lpstr>Volcanic Isle CONDENSING</vt:lpstr>
      <vt:lpstr>Dragon Kingdom EDITING</vt:lpstr>
      <vt:lpstr>Lost Cities EDITING</vt:lpstr>
      <vt:lpstr>Icy Wilderness EDITING</vt:lpstr>
      <vt:lpstr>Volcanic Isle EDITING</vt:lpstr>
      <vt:lpstr>Dragon Kingdom</vt:lpstr>
      <vt:lpstr>Lost Cities</vt:lpstr>
      <vt:lpstr>Icy Wilderness</vt:lpstr>
      <vt:lpstr>Volcanic Isle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Stanley</dc:creator>
  <cp:lastModifiedBy>Sean Stanley</cp:lastModifiedBy>
  <dcterms:created xsi:type="dcterms:W3CDTF">2015-06-05T18:17:20Z</dcterms:created>
  <dcterms:modified xsi:type="dcterms:W3CDTF">2026-08-03T12:33:48Z</dcterms:modified>
</cp:coreProperties>
</file>